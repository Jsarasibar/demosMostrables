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66dde636a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f6d489c44914a6a"/>
    <x:sheet xmlns:r="http://schemas.openxmlformats.org/officeDocument/2006/relationships" name="Productos destacados" sheetId="2" r:id="R36863f38ba554ae2"/>
    <x:sheet xmlns:r="http://schemas.openxmlformats.org/officeDocument/2006/relationships" name="Ventas por categoria" sheetId="3" r:id="Reefd5f9ee53f4a2e"/>
    <x:sheet xmlns:r="http://schemas.openxmlformats.org/officeDocument/2006/relationships" name="Gastos" sheetId="4" r:id="Read30a604b864472"/>
    <x:sheet xmlns:r="http://schemas.openxmlformats.org/officeDocument/2006/relationships" name="Clientes" sheetId="5" r:id="R57a965d9246049f1"/>
    <x:sheet xmlns:r="http://schemas.openxmlformats.org/officeDocument/2006/relationships" name="Datos procesados" sheetId="6" r:id="R6468f12a612a4bce"/>
    <x:sheet xmlns:r="http://schemas.openxmlformats.org/officeDocument/2006/relationships" name="Datos gastos" sheetId="7" r:id="R97f935557077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$ #,##0"/>
    <x:numFmt numFmtId="203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305496"/>
      </x:patternFill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FFFFFF"/>
      </x:patternFill>
    </x:fill>
    <x:fill>
      <x:patternFill patternType="solid">
        <x:fgColor rgb="F7F7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9C0006"/>
      </x:font>
      <x:fill>
        <x:patternFill patternType="solid">
          <x:bgColor rgb="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7b445be38483f" /><Relationship Type="http://schemas.openxmlformats.org/officeDocument/2006/relationships/theme" Target="/xl/theme/theme1.xml" Id="R673c9863f02f468a" /><Relationship Type="http://schemas.openxmlformats.org/officeDocument/2006/relationships/sharedStrings" Target="/xl/sharedStrings.xml" Id="Rf15f3e84c6f345df" /><Relationship Type="http://schemas.openxmlformats.org/officeDocument/2006/relationships/worksheet" Target="/xl/worksheets/sheet1.xml" Id="Rff6d489c44914a6a" /><Relationship Type="http://schemas.openxmlformats.org/officeDocument/2006/relationships/worksheet" Target="/xl/worksheets/sheet2.xml" Id="R36863f38ba554ae2" /><Relationship Type="http://schemas.openxmlformats.org/officeDocument/2006/relationships/worksheet" Target="/xl/worksheets/sheet3.xml" Id="Reefd5f9ee53f4a2e" /><Relationship Type="http://schemas.openxmlformats.org/officeDocument/2006/relationships/worksheet" Target="/xl/worksheets/sheet4.xml" Id="Read30a604b864472" /><Relationship Type="http://schemas.openxmlformats.org/officeDocument/2006/relationships/worksheet" Target="/xl/worksheets/sheet5.xml" Id="R57a965d9246049f1" /><Relationship Type="http://schemas.openxmlformats.org/officeDocument/2006/relationships/worksheet" Target="/xl/worksheets/sheet6.xml" Id="R6468f12a612a4bce" /><Relationship Type="http://schemas.openxmlformats.org/officeDocument/2006/relationships/worksheet" Target="/xl/worksheets/sheet7.xml" Id="R97f9355570774e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5d030875f14223" /><Relationship Type="http://schemas.openxmlformats.org/officeDocument/2006/relationships/chart" Target="/xl/drawings/charts/chart2.xml" Id="R6727e3ebd725496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2b15a9c9fb2425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Ventas</c:v>
          </c:tx>
          <c:cat>
            <c:strRef>
              <c:f>'Resumen'!$A$19:$A$24</c:f>
              <c:strCache>
                <c:ptCount val="0"/>
              </c:strCache>
            </c:strRef>
          </c:cat>
          <c:val>
            <c:numRef>
              <c:f>'Resumen'!$B$19:$B$24</c:f>
              <c:numCache>
                <c:formatCode>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varyColors val="0"/>
        <c:ser>
          <c:idx val="0"/>
          <c:order val="0"/>
          <c:tx>
            <c:v>Unidades</c:v>
          </c:tx>
          <c:cat>
            <c:strRef>
              <c:f>'Resumen'!$D$19:$D$23</c:f>
              <c:strCache>
                <c:ptCount val="0"/>
              </c:strCache>
            </c:strRef>
          </c:cat>
          <c:val>
            <c:numRef>
              <c:f>'Resumen'!$E$19:$E$23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Gastos</c:v>
          </c:tx>
          <c:cat>
            <c:strRef>
              <c:f>'Gastos'!$A$2:$A$10</c:f>
              <c:strCache>
                <c:ptCount val="0"/>
              </c:strCache>
            </c:strRef>
          </c:cat>
          <c:val>
            <c:numRef>
              <c:f>'Gastos'!$B$2:$B$10</c:f>
              <c:numCache>
                <c:formatCode>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4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5d030875f14223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27e3ebd725496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b15a9c9fb242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ProductosDestacados" displayName="ProductosDestacados" ref="A1:C26" headerRowCount="1">
  <x:tableColumns count="3">
    <x:tableColumn id="1" name="Producto"/>
    <x:tableColumn id="2" name="Unidades vendidas"/>
    <x:tableColumn id="3" name="Total facturado"/>
  </x:tableColumns>
  <x:tableStyleInfo name="TableStyleMedium2" showRowStripes="1"/>
</x:table>
</file>

<file path=xl/tables/table2.xml><?xml version="1.0" encoding="utf-8"?>
<x:table xmlns:x="http://schemas.openxmlformats.org/spreadsheetml/2006/main" id="4" name="VentasCategoria" displayName="VentasCategoria" ref="A1:B7" headerRowCount="1">
  <x:tableColumns count="2">
    <x:tableColumn id="1" name="Categoría"/>
    <x:tableColumn id="2" name="Total vendido"/>
  </x:tableColumns>
  <x:tableStyleInfo name="TableStyleMedium2" showRowStripes="1"/>
</x:table>
</file>

<file path=xl/tables/table3.xml><?xml version="1.0" encoding="utf-8"?>
<x:table xmlns:x="http://schemas.openxmlformats.org/spreadsheetml/2006/main" id="5" name="GastosCategoria" displayName="GastosCategoria" ref="A1:B10" headerRowCount="1">
  <x:tableColumns count="2">
    <x:tableColumn id="1" name="Categoría de gasto"/>
    <x:tableColumn id="2" name="Total gastado"/>
  </x:tableColumns>
  <x:tableStyleInfo name="TableStyleMedium2" showRowStripes="1"/>
</x:table>
</file>

<file path=xl/tables/table4.xml><?xml version="1.0" encoding="utf-8"?>
<x:table xmlns:x="http://schemas.openxmlformats.org/spreadsheetml/2006/main" id="6" name="ClientesResumen" displayName="ClientesResumen" ref="A1:F23" headerRowCount="1">
  <x:tableColumns count="6">
    <x:tableColumn id="1" name="id_cliente"/>
    <x:tableColumn id="2" name="Cliente"/>
    <x:tableColumn id="3" name="Tipo"/>
    <x:tableColumn id="4" name="Ciudad"/>
    <x:tableColumn id="5" name="Compras"/>
    <x:tableColumn id="6" name="Total comprado"/>
  </x:tableColumns>
  <x:tableStyleInfo name="TableStyleMedium2" showRowStripes="1"/>
</x:table>
</file>

<file path=xl/tables/table5.xml><?xml version="1.0" encoding="utf-8"?>
<x:table xmlns:x="http://schemas.openxmlformats.org/spreadsheetml/2006/main" id="1" name="DatosProcesados" displayName="DatosProcesados" ref="A1:N126" headerRowCount="1">
  <x:tableColumns count="14">
    <x:tableColumn id="1" name="fecha"/>
    <x:tableColumn id="2" name="id_venta"/>
    <x:tableColumn id="3" name="id_cliente"/>
    <x:tableColumn id="4" name="cliente"/>
    <x:tableColumn id="5" name="tipo_cliente"/>
    <x:tableColumn id="6" name="ciudad"/>
    <x:tableColumn id="7" name="producto"/>
    <x:tableColumn id="8" name="categoria"/>
    <x:tableColumn id="9" name="cantidad"/>
    <x:tableColumn id="10" name="precio_unitario"/>
    <x:tableColumn id="11" name="descuento"/>
    <x:tableColumn id="12" name="total_venta"/>
    <x:tableColumn id="13" name="canal"/>
    <x:tableColumn id="14" name="forma_pago"/>
  </x:tableColumns>
  <x:tableStyleInfo name="TableStyleMedium2" showRowStripes="1"/>
</x:table>
</file>

<file path=xl/tables/table6.xml><?xml version="1.0" encoding="utf-8"?>
<x:table xmlns:x="http://schemas.openxmlformats.org/spreadsheetml/2006/main" id="2" name="DatosGastos" displayName="DatosGastos" ref="A1:D17" headerRowCount="1">
  <x:tableColumns count="4">
    <x:tableColumn id="1" name="fecha"/>
    <x:tableColumn id="2" name="concepto"/>
    <x:tableColumn id="3" name="categoria_gasto"/>
    <x:tableColumn id="4" name="mo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65e043e05c4b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ab0a1eac0e44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71fbbdac1a4b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732c5d3048be491f" /><Relationship Type="http://schemas.openxmlformats.org/officeDocument/2006/relationships/table" Target="/xl/tables/table3.xml" Id="R244c82c962174e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ce3debb27a44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ac06cb338846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a5bd6d56eb4f5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8" hidden="0" customWidth="1"/>
    <x:col min="5" max="5" width="24" hidden="0" customWidth="1"/>
    <x:col min="7" max="7" width="12.380000114440918" hidden="0" customWidth="1"/>
    <x:col min="8" max="8" width="7.809999942779541" hidden="0" customWidth="1"/>
  </x:cols>
  <x:sheetData>
    <x:row r="1" ht="30" customHeight="1">
      <x:c r="A1" s="23" t="str">
        <x:v>REPORTE MENSUAL AUTOMÁTICO - LIBRERÍA | ENERO 2026</x:v>
      </x:c>
      <x:c r="B1" s="23"/>
      <x:c r="C1" s="23"/>
      <x:c r="D1" s="23"/>
      <x:c r="E1" s="23"/>
      <x:c r="F1" s="23"/>
      <x:c r="G1" s="23"/>
      <x:c r="H1" s="23"/>
    </x:row>
    <x:row r="3">
      <x:c r="A3" s="6" t="str">
        <x:v>Métrica</x:v>
      </x:c>
      <x:c r="B3" s="6" t="str">
        <x:v>Valor</x:v>
      </x:c>
      <x:c r="D3" s="6" t="str">
        <x:v>Indicador</x:v>
      </x:c>
      <x:c r="E3" s="6" t="str">
        <x:v>Resultado</x:v>
      </x:c>
    </x:row>
    <x:row r="4">
      <x:c r="A4" s="29" t="str">
        <x:v>Total vendido</x:v>
      </x:c>
      <x:c r="B4" s="16" t="n">
        <x:f>SUM('Datos procesados'!L2:L126)</x:f>
        <x:v>890291.3999999999</x:v>
      </x:c>
      <x:c r="D4" s="29" t="str">
        <x:v>Producto más vendido</x:v>
      </x:c>
      <x:c r="E4" s="32" t="str">
        <x:v>Resaltador amarillo</x:v>
      </x:c>
    </x:row>
    <x:row r="5">
      <x:c r="A5" s="29" t="str">
        <x:v>Total gastado</x:v>
      </x:c>
      <x:c r="B5" s="16" t="n">
        <x:f>SUM('Datos gastos'!D2:D17)</x:f>
        <x:v>1321000</x:v>
      </x:c>
      <x:c r="D5" s="29" t="str">
        <x:v>Categoría con más facturación</x:v>
      </x:c>
      <x:c r="E5" s="32" t="str">
        <x:v>Cuadernos</x:v>
      </x:c>
    </x:row>
    <x:row r="6">
      <x:c r="A6" s="29" t="str">
        <x:v>Ganancia estimada</x:v>
      </x:c>
      <x:c r="B6" s="16" t="n">
        <x:f>B4-B5</x:f>
        <x:v>-430708.6000000001</x:v>
      </x:c>
      <x:c r="D6" s="29" t="str">
        <x:v>Canal con más ventas</x:v>
      </x:c>
      <x:c r="E6" s="32" t="str">
        <x:v>WhatsApp</x:v>
      </x:c>
    </x:row>
    <x:row r="7">
      <x:c r="A7" s="29" t="str">
        <x:v>Cantidad de ventas</x:v>
      </x:c>
      <x:c r="B7" s="14" t="n">
        <x:f>COUNTA('Datos procesados'!B2:B126)</x:f>
        <x:v>125</x:v>
      </x:c>
      <x:c r="D7" s="29" t="str">
        <x:v>Ciudad con más facturación</x:v>
      </x:c>
      <x:c r="E7" s="32" t="str">
        <x:v>La Plata</x:v>
      </x:c>
    </x:row>
    <x:row r="8">
      <x:c r="A8" s="29" t="str">
        <x:v>Unidades vendidas</x:v>
      </x:c>
      <x:c r="B8" s="14" t="n">
        <x:f>SUM('Datos procesados'!I2:I126)</x:f>
        <x:v>447</x:v>
      </x:c>
    </x:row>
    <x:row r="9">
      <x:c r="A9" s="29" t="str">
        <x:v>Ticket promedio</x:v>
      </x:c>
      <x:c r="B9" s="16" t="n">
        <x:f>B4/B7</x:f>
        <x:v>7122.3312</x:v>
      </x:c>
    </x:row>
    <x:row r="10">
      <x:c r="A10" s="29" t="str">
        <x:v>Clientes únicos</x:v>
      </x:c>
      <x:c r="B10" s="14" t="n">
        <x:v>22</x:v>
      </x:c>
    </x:row>
    <x:row r="12">
      <x:c r="A12" s="6" t="str">
        <x:v>Resumen mensual</x:v>
      </x:c>
      <x:c r="B12" s="6"/>
      <x:c r="C12" s="6"/>
      <x:c r="D12" s="6"/>
      <x:c r="E12" s="6"/>
      <x:c r="F12" s="6"/>
      <x:c r="G12" s="6"/>
      <x:c r="H12" s="6"/>
    </x:row>
    <x:row r="13" ht="55" customHeight="1">
      <x:c r="A13" s="36" t="str">
        <x:v>Durante enero se registraron 125 ventas y 447 unidades vendidas. El total vendido fue de $890,291, mientras que los gastos sumaron $1,321,000. La ganancia estimada resultó en $-430,709. El producto más vendido fue Resaltador amarillo y la categoría con mayor facturación fue Cuadernos.</x:v>
      </x:c>
      <x:c r="B13" s="36"/>
      <x:c r="C13" s="36"/>
      <x:c r="D13" s="36"/>
      <x:c r="E13" s="36"/>
      <x:c r="F13" s="36"/>
      <x:c r="G13" s="36"/>
      <x:c r="H13" s="36"/>
    </x:row>
    <x:row r="14" ht="55" customHeight="1">
      <x:c r="A14" s="36" t="str"/>
      <x:c r="B14" s="36"/>
      <x:c r="C14" s="36"/>
      <x:c r="D14" s="36"/>
      <x:c r="E14" s="36"/>
      <x:c r="F14" s="36"/>
      <x:c r="G14" s="36"/>
      <x:c r="H14" s="36"/>
    </x:row>
    <x:row r="15" ht="55" customHeight="1">
      <x:c r="A15" s="36" t="str"/>
      <x:c r="B15" s="36"/>
      <x:c r="C15" s="36"/>
      <x:c r="D15" s="36"/>
      <x:c r="E15" s="36"/>
      <x:c r="F15" s="36"/>
      <x:c r="G15" s="36"/>
      <x:c r="H15" s="36"/>
    </x:row>
    <x:row r="18">
      <x:c r="A18" s="6" t="str">
        <x:v>Categoría</x:v>
      </x:c>
      <x:c r="B18" s="6" t="str">
        <x:v>Total vendido</x:v>
      </x:c>
      <x:c r="D18" s="6" t="str">
        <x:v>Producto</x:v>
      </x:c>
      <x:c r="E18" s="6" t="str">
        <x:v>Unidades</x:v>
      </x:c>
      <x:c r="G18" s="6" t="str">
        <x:v>Gasto</x:v>
      </x:c>
      <x:c r="H18" s="6" t="str">
        <x:v>Total</x:v>
      </x:c>
    </x:row>
    <x:row r="19">
      <x:c r="A19" t="str">
        <x:v>Cuadernos</x:v>
      </x:c>
      <x:c r="B19" s="16" t="n">
        <x:v>304469.5</x:v>
      </x:c>
      <x:c r="D19" t="str">
        <x:v>Resaltador amarillo</x:v>
      </x:c>
      <x:c r="E19" t="n">
        <x:v>54</x:v>
      </x:c>
      <x:c r="G19" t="str">
        <x:v>Mercadería</x:v>
      </x:c>
      <x:c r="H19" s="16" t="n">
        <x:v>684000</x:v>
      </x:c>
    </x:row>
    <x:row r="20">
      <x:c r="A20" t="str">
        <x:v>Escolar</x:v>
      </x:c>
      <x:c r="B20" s="16" t="n">
        <x:v>189750.61</x:v>
      </x:c>
      <x:c r="D20" t="str">
        <x:v>Lapicera azul</x:v>
      </x:c>
      <x:c r="E20" t="n">
        <x:v>41</x:v>
      </x:c>
      <x:c r="G20" t="str">
        <x:v>Alquiler</x:v>
      </x:c>
      <x:c r="H20" s="16" t="n">
        <x:v>280000</x:v>
      </x:c>
    </x:row>
    <x:row r="21">
      <x:c r="A21" t="str">
        <x:v>Escritura</x:v>
      </x:c>
      <x:c r="B21" s="16" t="n">
        <x:v>127995.86</x:v>
      </x:c>
      <x:c r="D21" t="str">
        <x:v>Cuaderno universitario rayado</x:v>
      </x:c>
      <x:c r="E21" t="n">
        <x:v>35</x:v>
      </x:c>
      <x:c r="G21" t="str">
        <x:v>Servicios</x:v>
      </x:c>
      <x:c r="H21" s="16" t="n">
        <x:v>99000</x:v>
      </x:c>
    </x:row>
    <x:row r="22">
      <x:c r="A22" t="str">
        <x:v>Oficina</x:v>
      </x:c>
      <x:c r="B22" s="16" t="n">
        <x:v>108842.73</x:v>
      </x:c>
      <x:c r="D22" t="str">
        <x:v>Broches 24/6</x:v>
      </x:c>
      <x:c r="E22" t="n">
        <x:v>33</x:v>
      </x:c>
      <x:c r="G22" t="str">
        <x:v>Marketing</x:v>
      </x:c>
      <x:c r="H22" s="16" t="n">
        <x:v>82000</x:v>
      </x:c>
    </x:row>
    <x:row r="23">
      <x:c r="A23" t="str">
        <x:v>Papelería</x:v>
      </x:c>
      <x:c r="B23" s="16" t="n">
        <x:v>101634.3</x:v>
      </x:c>
      <x:c r="D23" t="str">
        <x:v>Compás escolar</x:v>
      </x:c>
      <x:c r="E23" t="n">
        <x:v>31</x:v>
      </x:c>
      <x:c r="G23" t="str">
        <x:v>Logística</x:v>
      </x:c>
      <x:c r="H23" s="16" t="n">
        <x:v>57000</x:v>
      </x:c>
    </x:row>
    <x:row r="24">
      <x:c r="A24" t="str">
        <x:v>Organización</x:v>
      </x:c>
      <x:c r="B24" s="16" t="n">
        <x:v>57598.4</x:v>
      </x:c>
      <x:c r="G24" t="str">
        <x:v>Comisiones</x:v>
      </x:c>
      <x:c r="H24" s="16" t="n">
        <x:v>43000</x:v>
      </x:c>
    </x:row>
    <x:row r="25">
      <x:c r="G25" t="str">
        <x:v>Insumos</x:v>
      </x:c>
      <x:c r="H25" s="16" t="n">
        <x:v>36000</x:v>
      </x:c>
    </x:row>
    <x:row r="26">
      <x:c r="G26" t="str">
        <x:v>Mantenimiento</x:v>
      </x:c>
      <x:c r="H26" s="16" t="n">
        <x:v>22000</x:v>
      </x:c>
    </x:row>
    <x:row r="27">
      <x:c r="G27" t="str">
        <x:v>Herramientas</x:v>
      </x:c>
      <x:c r="H27" s="16" t="n">
        <x:v>18000</x:v>
      </x:c>
    </x:row>
  </x:sheetData>
  <x:mergeCells>
    <x:mergeCell ref="A1:H1"/>
    <x:mergeCell ref="A13:H15"/>
  </x:mergeCells>
  <x:conditionalFormatting sqref="B6:B6">
    <x:cfRule type="expression" dxfId="0" priority="1">
      <x:formula>B6&lt;0</x:formula>
    </x:cfRule>
  </x:conditionalFormatting>
  <x:pageMargins left="0.7" right="0.7" top="0.75" bottom="0.75" header="0.3" footer="0.3"/>
  <x:drawing xmlns:r="http://schemas.openxmlformats.org/officeDocument/2006/relationships" r:id="R5265e043e05c4b42"/>
</x:worksheet>
</file>

<file path=xl/worksheets/sheet2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18.030000686645508" hidden="0" customWidth="1"/>
    <x:col min="3" max="3" width="14.9399995803833" hidden="0" customWidth="1"/>
  </x:cols>
  <x:sheetData>
    <x:row r="1">
      <x:c r="A1" s="6" t="str">
        <x:v>Producto</x:v>
      </x:c>
      <x:c r="B1" s="6" t="str">
        <x:v>Unidades vendidas</x:v>
      </x:c>
      <x:c r="C1" s="6" t="str">
        <x:v>Total facturado</x:v>
      </x:c>
    </x:row>
    <x:row r="2">
      <x:c r="A2" t="str">
        <x:v>Resaltador amarillo</x:v>
      </x:c>
      <x:c r="B2" s="14" t="n">
        <x:v>54</x:v>
      </x:c>
      <x:c r="C2" s="16" t="n">
        <x:v>64757.4</x:v>
      </x:c>
    </x:row>
    <x:row r="3">
      <x:c r="A3" t="str">
        <x:v>Lapicera azul</x:v>
      </x:c>
      <x:c r="B3" s="14" t="n">
        <x:v>41</x:v>
      </x:c>
      <x:c r="C3" s="16" t="n">
        <x:v>26642.2</x:v>
      </x:c>
    </x:row>
    <x:row r="4">
      <x:c r="A4" t="str">
        <x:v>Cuaderno universitario rayado</x:v>
      </x:c>
      <x:c r="B4" s="14" t="n">
        <x:v>35</x:v>
      </x:c>
      <x:c r="C4" s="16" t="n">
        <x:v>132944.9</x:v>
      </x:c>
    </x:row>
    <x:row r="5">
      <x:c r="A5" t="str">
        <x:v>Broches 24/6</x:v>
      </x:c>
      <x:c r="B5" s="14" t="n">
        <x:v>33</x:v>
      </x:c>
      <x:c r="C5" s="16" t="n">
        <x:v>49469.25</x:v>
      </x:c>
    </x:row>
    <x:row r="6">
      <x:c r="A6" t="str">
        <x:v>Compás escolar</x:v>
      </x:c>
      <x:c r="B6" s="14" t="n">
        <x:v>31</x:v>
      </x:c>
      <x:c r="C6" s="16" t="n">
        <x:v>99119.36</x:v>
      </x:c>
    </x:row>
    <x:row r="7">
      <x:c r="A7" t="str">
        <x:v>Goma de borrar blanca</x:v>
      </x:c>
      <x:c r="B7" s="14" t="n">
        <x:v>26</x:v>
      </x:c>
      <x:c r="C7" s="16" t="n">
        <x:v>12988</x:v>
      </x:c>
    </x:row>
    <x:row r="8">
      <x:c r="A8" t="str">
        <x:v>Pegamento en barra</x:v>
      </x:c>
      <x:c r="B8" s="14" t="n">
        <x:v>24</x:v>
      </x:c>
      <x:c r="C8" s="16" t="n">
        <x:v>23982</x:v>
      </x:c>
    </x:row>
    <x:row r="9">
      <x:c r="A9" t="str">
        <x:v>Cinta adhesiva transparente</x:v>
      </x:c>
      <x:c r="B9" s="14" t="n">
        <x:v>23</x:v>
      </x:c>
      <x:c r="C9" s="16" t="n">
        <x:v>29873.48</x:v>
      </x:c>
    </x:row>
    <x:row r="10">
      <x:c r="A10" t="str">
        <x:v>Cuaderno tapa dura A4</x:v>
      </x:c>
      <x:c r="B10" s="14" t="n">
        <x:v>21</x:v>
      </x:c>
      <x:c r="C10" s="16" t="n">
        <x:v>109171.4</x:v>
      </x:c>
    </x:row>
    <x:row r="11">
      <x:c r="A11" t="str">
        <x:v>Cartulina color</x:v>
      </x:c>
      <x:c r="B11" s="14" t="n">
        <x:v>19</x:v>
      </x:c>
      <x:c r="C11" s="16" t="n">
        <x:v>16141.5</x:v>
      </x:c>
    </x:row>
    <x:row r="12">
      <x:c r="A12" t="str">
        <x:v>Lapicera negra</x:v>
      </x:c>
      <x:c r="B12" s="14" t="n">
        <x:v>19</x:v>
      </x:c>
      <x:c r="C12" s="16" t="n">
        <x:v>12348.06</x:v>
      </x:c>
    </x:row>
    <x:row r="13">
      <x:c r="A13" t="str">
        <x:v>Lápiz negro HB</x:v>
      </x:c>
      <x:c r="B13" s="14" t="n">
        <x:v>19</x:v>
      </x:c>
      <x:c r="C13" s="16" t="n">
        <x:v>8548.2</x:v>
      </x:c>
    </x:row>
    <x:row r="14">
      <x:c r="A14" t="str">
        <x:v>Cuaderno universitario cuadriculado</x:v>
      </x:c>
      <x:c r="B14" s="14" t="n">
        <x:v>16</x:v>
      </x:c>
      <x:c r="C14" s="16" t="n">
        <x:v>62353.2</x:v>
      </x:c>
    </x:row>
    <x:row r="15">
      <x:c r="A15" t="str">
        <x:v>Tijera escolar</x:v>
      </x:c>
      <x:c r="B15" s="14" t="n">
        <x:v>16</x:v>
      </x:c>
      <x:c r="C15" s="16" t="n">
        <x:v>38364</x:v>
      </x:c>
    </x:row>
    <x:row r="16">
      <x:c r="A16" t="str">
        <x:v>Separadores escolares</x:v>
      </x:c>
      <x:c r="B16" s="14" t="n">
        <x:v>11</x:v>
      </x:c>
      <x:c r="C16" s="16" t="n">
        <x:v>17598.4</x:v>
      </x:c>
    </x:row>
    <x:row r="17">
      <x:c r="A17" t="str">
        <x:v>Block de hojas A4 rayadas</x:v>
      </x:c>
      <x:c r="B17" s="14" t="n">
        <x:v>9</x:v>
      </x:c>
      <x:c r="C17" s="16" t="n">
        <x:v>27900</x:v>
      </x:c>
    </x:row>
    <x:row r="18">
      <x:c r="A18" t="str">
        <x:v>Regla 30 cm</x:v>
      </x:c>
      <x:c r="B18" s="14" t="n">
        <x:v>9</x:v>
      </x:c>
      <x:c r="C18" s="16" t="n">
        <x:v>9897.25</x:v>
      </x:c>
    </x:row>
    <x:row r="19">
      <x:c r="A19" t="str">
        <x:v>Resma A4 75g</x:v>
      </x:c>
      <x:c r="B19" s="14" t="n">
        <x:v>8</x:v>
      </x:c>
      <x:c r="C19" s="16" t="n">
        <x:v>57592.8</x:v>
      </x:c>
    </x:row>
    <x:row r="20">
      <x:c r="A20" t="str">
        <x:v>Marcador permanente negro</x:v>
      </x:c>
      <x:c r="B20" s="14" t="n">
        <x:v>8</x:v>
      </x:c>
      <x:c r="C20" s="16" t="n">
        <x:v>14400</x:v>
      </x:c>
    </x:row>
    <x:row r="21">
      <x:c r="A21" t="str">
        <x:v>Sacapuntas metálico</x:v>
      </x:c>
      <x:c r="B21" s="14" t="n">
        <x:v>6</x:v>
      </x:c>
      <x:c r="C21" s="16" t="n">
        <x:v>5400</x:v>
      </x:c>
    </x:row>
    <x:row r="22">
      <x:c r="A22" t="str">
        <x:v>Abrochadora mediana</x:v>
      </x:c>
      <x:c r="B22" s="14" t="n">
        <x:v>5</x:v>
      </x:c>
      <x:c r="C22" s="16" t="n">
        <x:v>29500</x:v>
      </x:c>
    </x:row>
    <x:row r="23">
      <x:c r="A23" t="str">
        <x:v>Carpeta A4 con elástico</x:v>
      </x:c>
      <x:c r="B23" s="14" t="n">
        <x:v>5</x:v>
      </x:c>
      <x:c r="C23" s="16" t="n">
        <x:v>14000</x:v>
      </x:c>
    </x:row>
    <x:row r="24">
      <x:c r="A24" t="str">
        <x:v>Folios A4 x10</x:v>
      </x:c>
      <x:c r="B24" s="14" t="n">
        <x:v>5</x:v>
      </x:c>
      <x:c r="C24" s="16" t="n">
        <x:v>7000</x:v>
      </x:c>
    </x:row>
    <x:row r="25">
      <x:c r="A25" t="str">
        <x:v>Agenda semanal 2026</x:v>
      </x:c>
      <x:c r="B25" s="14" t="n">
        <x:v>2</x:v>
      </x:c>
      <x:c r="C25" s="16" t="n">
        <x:v>19000</x:v>
      </x:c>
    </x:row>
    <x:row r="26">
      <x:c r="A26" t="str">
        <x:v>Lapicera roja</x:v>
      </x:c>
      <x:c r="B26" s="14" t="n">
        <x:v>2</x:v>
      </x:c>
      <x:c r="C26" s="16" t="n">
        <x:v>1300</x:v>
      </x:c>
    </x:row>
  </x:sheetData>
  <x:pageMargins left="0.7" right="0.7" top="0.75" bottom="0.75" header="0.3" footer="0.3"/>
  <x:tableParts count="1">
    <x:tablePart xmlns:r="http://schemas.openxmlformats.org/officeDocument/2006/relationships" r:id="R97ab0a1eac0e44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13.729999542236328" hidden="0" customWidth="1"/>
  </x:cols>
  <x:sheetData>
    <x:row r="1">
      <x:c r="A1" s="6" t="str">
        <x:v>Categoría</x:v>
      </x:c>
      <x:c r="B1" s="6" t="str">
        <x:v>Total vendido</x:v>
      </x:c>
    </x:row>
    <x:row r="2">
      <x:c r="A2" t="str">
        <x:v>Cuadernos</x:v>
      </x:c>
      <x:c r="B2" s="16" t="n">
        <x:v>304469.5</x:v>
      </x:c>
    </x:row>
    <x:row r="3">
      <x:c r="A3" t="str">
        <x:v>Escolar</x:v>
      </x:c>
      <x:c r="B3" s="16" t="n">
        <x:v>189750.61</x:v>
      </x:c>
    </x:row>
    <x:row r="4">
      <x:c r="A4" t="str">
        <x:v>Escritura</x:v>
      </x:c>
      <x:c r="B4" s="16" t="n">
        <x:v>127995.86</x:v>
      </x:c>
    </x:row>
    <x:row r="5">
      <x:c r="A5" t="str">
        <x:v>Oficina</x:v>
      </x:c>
      <x:c r="B5" s="16" t="n">
        <x:v>108842.73</x:v>
      </x:c>
    </x:row>
    <x:row r="6">
      <x:c r="A6" t="str">
        <x:v>Papelería</x:v>
      </x:c>
      <x:c r="B6" s="16" t="n">
        <x:v>101634.3</x:v>
      </x:c>
    </x:row>
    <x:row r="7">
      <x:c r="A7" t="str">
        <x:v>Organización</x:v>
      </x:c>
      <x:c r="B7" s="16" t="n">
        <x:v>57598.4</x:v>
      </x:c>
    </x:row>
  </x:sheetData>
  <x:pageMargins left="0.7" right="0.7" top="0.75" bottom="0.75" header="0.3" footer="0.3"/>
  <x:tableParts count="1">
    <x:tablePart xmlns:r="http://schemas.openxmlformats.org/officeDocument/2006/relationships" r:id="Re671fbbdac1a4b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.770000457763672" hidden="0" customWidth="1"/>
    <x:col min="2" max="2" width="13.460000038146973" hidden="0" customWidth="1"/>
  </x:cols>
  <x:sheetData>
    <x:row r="1">
      <x:c r="A1" s="6" t="str">
        <x:v>Categoría de gasto</x:v>
      </x:c>
      <x:c r="B1" s="6" t="str">
        <x:v>Total gastado</x:v>
      </x:c>
    </x:row>
    <x:row r="2">
      <x:c r="A2" t="str">
        <x:v>Mercadería</x:v>
      </x:c>
      <x:c r="B2" s="16" t="n">
        <x:v>684000</x:v>
      </x:c>
    </x:row>
    <x:row r="3">
      <x:c r="A3" t="str">
        <x:v>Alquiler</x:v>
      </x:c>
      <x:c r="B3" s="16" t="n">
        <x:v>280000</x:v>
      </x:c>
    </x:row>
    <x:row r="4">
      <x:c r="A4" t="str">
        <x:v>Servicios</x:v>
      </x:c>
      <x:c r="B4" s="16" t="n">
        <x:v>99000</x:v>
      </x:c>
    </x:row>
    <x:row r="5">
      <x:c r="A5" t="str">
        <x:v>Marketing</x:v>
      </x:c>
      <x:c r="B5" s="16" t="n">
        <x:v>82000</x:v>
      </x:c>
    </x:row>
    <x:row r="6">
      <x:c r="A6" t="str">
        <x:v>Logística</x:v>
      </x:c>
      <x:c r="B6" s="16" t="n">
        <x:v>57000</x:v>
      </x:c>
    </x:row>
    <x:row r="7">
      <x:c r="A7" t="str">
        <x:v>Comisiones</x:v>
      </x:c>
      <x:c r="B7" s="16" t="n">
        <x:v>43000</x:v>
      </x:c>
    </x:row>
    <x:row r="8">
      <x:c r="A8" t="str">
        <x:v>Insumos</x:v>
      </x:c>
      <x:c r="B8" s="16" t="n">
        <x:v>36000</x:v>
      </x:c>
    </x:row>
    <x:row r="9">
      <x:c r="A9" t="str">
        <x:v>Mantenimiento</x:v>
      </x:c>
      <x:c r="B9" s="16" t="n">
        <x:v>22000</x:v>
      </x:c>
    </x:row>
    <x:row r="10">
      <x:c r="A10" t="str">
        <x:v>Herramientas</x:v>
      </x:c>
      <x:c r="B10" s="16" t="n">
        <x:v>18000</x:v>
      </x:c>
    </x:row>
  </x:sheetData>
  <x:pageMargins left="0.7" right="0.7" top="0.75" bottom="0.75" header="0.3" footer="0.3"/>
  <x:drawing xmlns:r="http://schemas.openxmlformats.org/officeDocument/2006/relationships" r:id="R732c5d3048be491f"/>
  <x:tableParts count="1">
    <x:tablePart xmlns:r="http://schemas.openxmlformats.org/officeDocument/2006/relationships" r:id="R244c82c962174e4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8.56999969482422" hidden="0" customWidth="1"/>
    <x:col min="3" max="3" width="8.75" hidden="0" customWidth="1"/>
    <x:col min="4" max="4" width="10.630000114440918" hidden="0" customWidth="1"/>
    <x:col min="5" max="5" width="9.829999923706055" hidden="0" customWidth="1"/>
    <x:col min="6" max="6" width="15.34000015258789" hidden="0" customWidth="1"/>
  </x:cols>
  <x:sheetData>
    <x:row r="1">
      <x:c r="A1" s="6" t="str">
        <x:v>id_cliente</x:v>
      </x:c>
      <x:c r="B1" s="6" t="str">
        <x:v>Cliente</x:v>
      </x:c>
      <x:c r="C1" s="6" t="str">
        <x:v>Tipo</x:v>
      </x:c>
      <x:c r="D1" s="6" t="str">
        <x:v>Ciudad</x:v>
      </x:c>
      <x:c r="E1" s="6" t="str">
        <x:v>Compras</x:v>
      </x:c>
      <x:c r="F1" s="6" t="str">
        <x:v>Total comprado</x:v>
      </x:c>
    </x:row>
    <x:row r="2">
      <x:c r="A2" t="str">
        <x:v>C021</x:v>
      </x:c>
      <x:c r="B2" t="str">
        <x:v>Colegio San Martín</x:v>
      </x:c>
      <x:c r="C2" t="str">
        <x:v>Mayorista</x:v>
      </x:c>
      <x:c r="D2" t="str">
        <x:v>La Plata</x:v>
      </x:c>
      <x:c r="E2" s="14" t="n">
        <x:v>10</x:v>
      </x:c>
      <x:c r="F2" s="16" t="n">
        <x:v>195891.24</x:v>
      </x:c>
    </x:row>
    <x:row r="3">
      <x:c r="A3" t="str">
        <x:v>C022</x:v>
      </x:c>
      <x:c r="B3" t="str">
        <x:v>Estudio Contable López</x:v>
      </x:c>
      <x:c r="C3" t="str">
        <x:v>Mayorista</x:v>
      </x:c>
      <x:c r="D3" t="str">
        <x:v>Rosario</x:v>
      </x:c>
      <x:c r="E3" s="14" t="n">
        <x:v>5</x:v>
      </x:c>
      <x:c r="F3" s="16" t="n">
        <x:v>173063.43</x:v>
      </x:c>
    </x:row>
    <x:row r="4">
      <x:c r="A4" t="str">
        <x:v>C020</x:v>
      </x:c>
      <x:c r="B4" t="str">
        <x:v>Empresa Norte SRL</x:v>
      </x:c>
      <x:c r="C4" t="str">
        <x:v>Mayorista</x:v>
      </x:c>
      <x:c r="D4" t="str">
        <x:v>CABA</x:v>
      </x:c>
      <x:c r="E4" s="14" t="n">
        <x:v>9</x:v>
      </x:c>
      <x:c r="F4" s="16" t="n">
        <x:v>119610.85</x:v>
      </x:c>
    </x:row>
    <x:row r="5">
      <x:c r="A5" t="str">
        <x:v>C014</x:v>
      </x:c>
      <x:c r="B5" t="str">
        <x:v>Lucas Peralta</x:v>
      </x:c>
      <x:c r="C5" t="str">
        <x:v>Recurrente</x:v>
      </x:c>
      <x:c r="D5" t="str">
        <x:v>La Plata</x:v>
      </x:c>
      <x:c r="E5" s="14" t="n">
        <x:v>10</x:v>
      </x:c>
      <x:c r="F5" s="16" t="n">
        <x:v>40089.3</x:v>
      </x:c>
    </x:row>
    <x:row r="6">
      <x:c r="A6" t="str">
        <x:v>C001</x:v>
      </x:c>
      <x:c r="B6" t="str">
        <x:v>Laura Pérez</x:v>
      </x:c>
      <x:c r="C6" t="str">
        <x:v>Recurrente</x:v>
      </x:c>
      <x:c r="D6" t="str">
        <x:v>CABA</x:v>
      </x:c>
      <x:c r="E6" s="14" t="n">
        <x:v>8</x:v>
      </x:c>
      <x:c r="F6" s="16" t="n">
        <x:v>33450</x:v>
      </x:c>
    </x:row>
    <x:row r="7">
      <x:c r="A7" t="str">
        <x:v>C011</x:v>
      </x:c>
      <x:c r="B7" t="str">
        <x:v>Florencia Acosta</x:v>
      </x:c>
      <x:c r="C7" t="str">
        <x:v>Recurrente</x:v>
      </x:c>
      <x:c r="D7" t="str">
        <x:v>Mar del Plata</x:v>
      </x:c>
      <x:c r="E7" s="14" t="n">
        <x:v>7</x:v>
      </x:c>
      <x:c r="F7" s="16" t="n">
        <x:v>33348.05</x:v>
      </x:c>
    </x:row>
    <x:row r="8">
      <x:c r="A8" t="str">
        <x:v>C013</x:v>
      </x:c>
      <x:c r="B8" t="str">
        <x:v>Agustina Vega</x:v>
      </x:c>
      <x:c r="C8" t="str">
        <x:v>Nuevo</x:v>
      </x:c>
      <x:c r="D8" t="str">
        <x:v>Córdoba</x:v>
      </x:c>
      <x:c r="E8" s="14" t="n">
        <x:v>9</x:v>
      </x:c>
      <x:c r="F8" s="16" t="n">
        <x:v>32896.95</x:v>
      </x:c>
    </x:row>
    <x:row r="9">
      <x:c r="A9" t="str">
        <x:v>C008</x:v>
      </x:c>
      <x:c r="B9" t="str">
        <x:v>Tomás Herrera</x:v>
      </x:c>
      <x:c r="C9" t="str">
        <x:v>Recurrente</x:v>
      </x:c>
      <x:c r="D9" t="str">
        <x:v>Córdoba</x:v>
      </x:c>
      <x:c r="E9" s="14" t="n">
        <x:v>4</x:v>
      </x:c>
      <x:c r="F9" s="16" t="n">
        <x:v>27300</x:v>
      </x:c>
    </x:row>
    <x:row r="10">
      <x:c r="A10" t="str">
        <x:v>C019</x:v>
      </x:c>
      <x:c r="B10" t="str">
        <x:v>Rocío Navarro</x:v>
      </x:c>
      <x:c r="C10" t="str">
        <x:v>Recurrente</x:v>
      </x:c>
      <x:c r="D10" t="str">
        <x:v>Córdoba</x:v>
      </x:c>
      <x:c r="E10" s="14" t="n">
        <x:v>7</x:v>
      </x:c>
      <x:c r="F10" s="16" t="n">
        <x:v>26000</x:v>
      </x:c>
    </x:row>
    <x:row r="11">
      <x:c r="A11" t="str">
        <x:v>C007</x:v>
      </x:c>
      <x:c r="B11" t="str">
        <x:v>Valentina Silva</x:v>
      </x:c>
      <x:c r="C11" t="str">
        <x:v>Nuevo</x:v>
      </x:c>
      <x:c r="D11" t="str">
        <x:v>Mendoza</x:v>
      </x:c>
      <x:c r="E11" s="14" t="n">
        <x:v>5</x:v>
      </x:c>
      <x:c r="F11" s="16" t="n">
        <x:v>25400</x:v>
      </x:c>
    </x:row>
    <x:row r="12">
      <x:c r="A12" t="str">
        <x:v>C003</x:v>
      </x:c>
      <x:c r="B12" t="str">
        <x:v>Sofía Torres</x:v>
      </x:c>
      <x:c r="C12" t="str">
        <x:v>Recurrente</x:v>
      </x:c>
      <x:c r="D12" t="str">
        <x:v>Córdoba</x:v>
      </x:c>
      <x:c r="E12" s="14" t="n">
        <x:v>8</x:v>
      </x:c>
      <x:c r="F12" s="16" t="n">
        <x:v>24196.4</x:v>
      </x:c>
    </x:row>
    <x:row r="13">
      <x:c r="A13" t="str">
        <x:v>C017</x:v>
      </x:c>
      <x:c r="B13" t="str">
        <x:v>Paula Méndez</x:v>
      </x:c>
      <x:c r="C13" t="str">
        <x:v>Recurrente</x:v>
      </x:c>
      <x:c r="D13" t="str">
        <x:v>Mendoza</x:v>
      </x:c>
      <x:c r="E13" s="14" t="n">
        <x:v>6</x:v>
      </x:c>
      <x:c r="F13" s="16" t="n">
        <x:v>23100</x:v>
      </x:c>
    </x:row>
    <x:row r="14">
      <x:c r="A14" t="str">
        <x:v>C005</x:v>
      </x:c>
      <x:c r="B14" t="str">
        <x:v>Camila Ruiz</x:v>
      </x:c>
      <x:c r="C14" t="str">
        <x:v>Nuevo</x:v>
      </x:c>
      <x:c r="D14" t="str">
        <x:v>La Plata</x:v>
      </x:c>
      <x:c r="E14" s="14" t="n">
        <x:v>4</x:v>
      </x:c>
      <x:c r="F14" s="16" t="n">
        <x:v>22700</x:v>
      </x:c>
    </x:row>
    <x:row r="15">
      <x:c r="A15" t="str">
        <x:v>C012</x:v>
      </x:c>
      <x:c r="B15" t="str">
        <x:v>Mateo Benítez</x:v>
      </x:c>
      <x:c r="C15" t="str">
        <x:v>Recurrente</x:v>
      </x:c>
      <x:c r="D15" t="str">
        <x:v>CABA</x:v>
      </x:c>
      <x:c r="E15" s="14" t="n">
        <x:v>5</x:v>
      </x:c>
      <x:c r="F15" s="16" t="n">
        <x:v>20600</x:v>
      </x:c>
    </x:row>
    <x:row r="16">
      <x:c r="A16" t="str">
        <x:v>C010</x:v>
      </x:c>
      <x:c r="B16" t="str">
        <x:v>Nicolás Romero</x:v>
      </x:c>
      <x:c r="C16" t="str">
        <x:v>Nuevo</x:v>
      </x:c>
      <x:c r="D16" t="str">
        <x:v>Rosario</x:v>
      </x:c>
      <x:c r="E16" s="14" t="n">
        <x:v>3</x:v>
      </x:c>
      <x:c r="F16" s="16" t="n">
        <x:v>19500</x:v>
      </x:c>
    </x:row>
    <x:row r="17">
      <x:c r="A17" t="str">
        <x:v>C016</x:v>
      </x:c>
      <x:c r="B17" t="str">
        <x:v>Federico Arias</x:v>
      </x:c>
      <x:c r="C17" t="str">
        <x:v>Recurrente</x:v>
      </x:c>
      <x:c r="D17" t="str">
        <x:v>Rosario</x:v>
      </x:c>
      <x:c r="E17" s="14" t="n">
        <x:v>4</x:v>
      </x:c>
      <x:c r="F17" s="16" t="n">
        <x:v>17150</x:v>
      </x:c>
    </x:row>
    <x:row r="18">
      <x:c r="A18" t="str">
        <x:v>C004</x:v>
      </x:c>
      <x:c r="B18" t="str">
        <x:v>Diego Fernández</x:v>
      </x:c>
      <x:c r="C18" t="str">
        <x:v>Recurrente</x:v>
      </x:c>
      <x:c r="D18" t="str">
        <x:v>Rosario</x:v>
      </x:c>
      <x:c r="E18" s="14" t="n">
        <x:v>4</x:v>
      </x:c>
      <x:c r="F18" s="16" t="n">
        <x:v>16300</x:v>
      </x:c>
    </x:row>
    <x:row r="19">
      <x:c r="A19" t="str">
        <x:v>C015</x:v>
      </x:c>
      <x:c r="B19" t="str">
        <x:v>Brenda Luna</x:v>
      </x:c>
      <x:c r="C19" t="str">
        <x:v>Nuevo</x:v>
      </x:c>
      <x:c r="D19" t="str">
        <x:v>CABA</x:v>
      </x:c>
      <x:c r="E19" s="14" t="n">
        <x:v>5</x:v>
      </x:c>
      <x:c r="F19" s="16" t="n">
        <x:v>14648.1</x:v>
      </x:c>
    </x:row>
    <x:row r="20">
      <x:c r="A20" t="str">
        <x:v>C006</x:v>
      </x:c>
      <x:c r="B20" t="str">
        <x:v>Andrés Molina</x:v>
      </x:c>
      <x:c r="C20" t="str">
        <x:v>Recurrente</x:v>
      </x:c>
      <x:c r="D20" t="str">
        <x:v>CABA</x:v>
      </x:c>
      <x:c r="E20" s="14" t="n">
        <x:v>5</x:v>
      </x:c>
      <x:c r="F20" s="16" t="n">
        <x:v>8600</x:v>
      </x:c>
    </x:row>
    <x:row r="21">
      <x:c r="A21" t="str">
        <x:v>C002</x:v>
      </x:c>
      <x:c r="B21" t="str">
        <x:v>Martín Gómez</x:v>
      </x:c>
      <x:c r="C21" t="str">
        <x:v>Nuevo</x:v>
      </x:c>
      <x:c r="D21" t="str">
        <x:v>CABA</x:v>
      </x:c>
      <x:c r="E21" s="14" t="n">
        <x:v>2</x:v>
      </x:c>
      <x:c r="F21" s="16" t="n">
        <x:v>6397.4</x:v>
      </x:c>
    </x:row>
    <x:row r="22">
      <x:c r="A22" t="str">
        <x:v>C018</x:v>
      </x:c>
      <x:c r="B22" t="str">
        <x:v>Joaquín Suárez</x:v>
      </x:c>
      <x:c r="C22" t="str">
        <x:v>Nuevo</x:v>
      </x:c>
      <x:c r="D22" t="str">
        <x:v>CABA</x:v>
      </x:c>
      <x:c r="E22" s="14" t="n">
        <x:v>1</x:v>
      </x:c>
      <x:c r="F22" s="16" t="n">
        <x:v>5900</x:v>
      </x:c>
    </x:row>
    <x:row r="23">
      <x:c r="A23" t="str">
        <x:v>C009</x:v>
      </x:c>
      <x:c r="B23" t="str">
        <x:v>Julieta Castro</x:v>
      </x:c>
      <x:c r="C23" t="str">
        <x:v>Recurrente</x:v>
      </x:c>
      <x:c r="D23" t="str">
        <x:v>CABA</x:v>
      </x:c>
      <x:c r="E23" s="14" t="n">
        <x:v>4</x:v>
      </x:c>
      <x:c r="F23" s="16" t="n">
        <x:v>4149.68</x:v>
      </x:c>
    </x:row>
  </x:sheetData>
  <x:pageMargins left="0.7" right="0.7" top="0.75" bottom="0.75" header="0.3" footer="0.3"/>
  <x:tableParts count="1">
    <x:tablePart xmlns:r="http://schemas.openxmlformats.org/officeDocument/2006/relationships" r:id="R4ace3debb27a44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9.6899995803833" hidden="0" customWidth="1"/>
    <x:col min="3" max="3" width="10.630000114440918" hidden="0" customWidth="1"/>
    <x:col min="4" max="4" width="18.56999969482422" hidden="0" customWidth="1"/>
    <x:col min="5" max="5" width="12.380000114440918" hidden="0" customWidth="1"/>
    <x:col min="6" max="6" width="10.630000114440918" hidden="0" customWidth="1"/>
    <x:col min="7" max="7" width="28.940000534057617" hidden="0" customWidth="1"/>
    <x:col min="8" max="8" width="10.229999542236328" hidden="0" customWidth="1"/>
    <x:col min="9" max="9" width="9.6899995803833" hidden="0" customWidth="1"/>
    <x:col min="10" max="10" width="15.210000038146973" hidden="0" customWidth="1"/>
    <x:col min="11" max="11" width="11.170000076293945" hidden="0" customWidth="1"/>
    <x:col min="12" max="12" width="11.979999542236328" hidden="0" customWidth="1"/>
    <x:col min="13" max="13" width="11.4399995803833" hidden="0" customWidth="1"/>
    <x:col min="14" max="14" width="12.520000457763672" hidden="0" customWidth="1"/>
  </x:cols>
  <x:sheetData>
    <x:row r="1">
      <x:c r="A1" s="6" t="str">
        <x:v>fecha</x:v>
      </x:c>
      <x:c r="B1" s="6" t="str">
        <x:v>id_venta</x:v>
      </x:c>
      <x:c r="C1" s="6" t="str">
        <x:v>id_cliente</x:v>
      </x:c>
      <x:c r="D1" s="6" t="str">
        <x:v>cliente</x:v>
      </x:c>
      <x:c r="E1" s="6" t="str">
        <x:v>tipo_cliente</x:v>
      </x:c>
      <x:c r="F1" s="6" t="str">
        <x:v>ciudad</x:v>
      </x:c>
      <x:c r="G1" s="6" t="str">
        <x:v>producto</x:v>
      </x:c>
      <x:c r="H1" s="6" t="str">
        <x:v>categoria</x:v>
      </x:c>
      <x:c r="I1" s="6" t="str">
        <x:v>cantidad</x:v>
      </x:c>
      <x:c r="J1" s="6" t="str">
        <x:v>precio_unitario</x:v>
      </x:c>
      <x:c r="K1" s="6" t="str">
        <x:v>descuento</x:v>
      </x:c>
      <x:c r="L1" s="6" t="str">
        <x:v>total_venta</x:v>
      </x:c>
      <x:c r="M1" s="6" t="str">
        <x:v>canal</x:v>
      </x:c>
      <x:c r="N1" s="6" t="str">
        <x:v>forma_pago</x:v>
      </x:c>
    </x:row>
    <x:row r="2">
      <x:c r="A2" s="12" t="str">
        <x:v>2026-01-02</x:v>
      </x:c>
      <x:c r="B2" t="str">
        <x:v>V0004</x:v>
      </x:c>
      <x:c r="C2" t="str">
        <x:v>C019</x:v>
      </x:c>
      <x:c r="D2" t="str">
        <x:v>Rocío Navarro</x:v>
      </x:c>
      <x:c r="E2" t="str">
        <x:v>Recurrente</x:v>
      </x:c>
      <x:c r="F2" t="str">
        <x:v>Córdoba</x:v>
      </x:c>
      <x:c r="G2" t="str">
        <x:v>Lapicera negra</x:v>
      </x:c>
      <x:c r="H2" t="str">
        <x:v>Escritura</x:v>
      </x:c>
      <x:c r="I2" s="14" t="n">
        <x:v>3</x:v>
      </x:c>
      <x:c r="J2" s="16" t="n">
        <x:v>650</x:v>
      </x:c>
      <x:c r="K2" s="18" t="n">
        <x:v>0</x:v>
      </x:c>
      <x:c r="L2" s="16" t="n">
        <x:v>1950</x:v>
      </x:c>
      <x:c r="M2" t="str">
        <x:v>Mostrador</x:v>
      </x:c>
      <x:c r="N2" t="str">
        <x:v>Tarjeta crédito</x:v>
      </x:c>
    </x:row>
    <x:row r="3">
      <x:c r="A3" s="12" t="str">
        <x:v>2026-01-02</x:v>
      </x:c>
      <x:c r="B3" t="str">
        <x:v>V0067</x:v>
      </x:c>
      <x:c r="C3" t="str">
        <x:v>C001</x:v>
      </x:c>
      <x:c r="D3" t="str">
        <x:v>Laura Pérez</x:v>
      </x:c>
      <x:c r="E3" t="str">
        <x:v>Recurrente</x:v>
      </x:c>
      <x:c r="F3" t="str">
        <x:v>CABA</x:v>
      </x:c>
      <x:c r="G3" t="str">
        <x:v>Agenda semanal 2026</x:v>
      </x:c>
      <x:c r="H3" t="str">
        <x:v>Organización</x:v>
      </x:c>
      <x:c r="I3" s="14" t="n">
        <x:v>1</x:v>
      </x:c>
      <x:c r="J3" s="16" t="n">
        <x:v>9500</x:v>
      </x:c>
      <x:c r="K3" s="18" t="n">
        <x:v>0</x:v>
      </x:c>
      <x:c r="L3" s="16" t="n">
        <x:v>9500</x:v>
      </x:c>
      <x:c r="M3" t="str">
        <x:v>Web</x:v>
      </x:c>
      <x:c r="N3" t="str">
        <x:v>Transferencia</x:v>
      </x:c>
    </x:row>
    <x:row r="4">
      <x:c r="A4" s="12" t="str">
        <x:v>2026-01-03</x:v>
      </x:c>
      <x:c r="B4" t="str">
        <x:v>V0011</x:v>
      </x:c>
      <x:c r="C4" t="str">
        <x:v>C006</x:v>
      </x:c>
      <x:c r="D4" t="str">
        <x:v>Andrés Molina</x:v>
      </x:c>
      <x:c r="E4" t="str">
        <x:v>Recurrente</x:v>
      </x:c>
      <x:c r="F4" t="str">
        <x:v>CABA</x:v>
      </x:c>
      <x:c r="G4" t="str">
        <x:v>Lápiz negro HB</x:v>
      </x:c>
      <x:c r="H4" t="str">
        <x:v>Escritura</x:v>
      </x:c>
      <x:c r="I4" s="14" t="n">
        <x:v>2</x:v>
      </x:c>
      <x:c r="J4" s="16" t="n">
        <x:v>450</x:v>
      </x:c>
      <x:c r="K4" s="18" t="n">
        <x:v>0</x:v>
      </x:c>
      <x:c r="L4" s="16" t="n">
        <x:v>900</x:v>
      </x:c>
      <x:c r="M4" t="str">
        <x:v>Mostrador</x:v>
      </x:c>
      <x:c r="N4" t="str">
        <x:v>Tarjeta crédito</x:v>
      </x:c>
    </x:row>
    <x:row r="5">
      <x:c r="A5" s="12" t="str">
        <x:v>2026-01-03</x:v>
      </x:c>
      <x:c r="B5" t="str">
        <x:v>V0032</x:v>
      </x:c>
      <x:c r="C5" t="str">
        <x:v>C016</x:v>
      </x:c>
      <x:c r="D5" t="str">
        <x:v>Federico Arias</x:v>
      </x:c>
      <x:c r="E5" t="str">
        <x:v>Recurrente</x:v>
      </x:c>
      <x:c r="F5" t="str">
        <x:v>Rosario</x:v>
      </x:c>
      <x:c r="G5" t="str">
        <x:v>Cuaderno universitario rayado</x:v>
      </x:c>
      <x:c r="H5" t="str">
        <x:v>Cuadernos</x:v>
      </x:c>
      <x:c r="I5" s="14" t="n">
        <x:v>1</x:v>
      </x:c>
      <x:c r="J5" s="16" t="n">
        <x:v>3800</x:v>
      </x:c>
      <x:c r="K5" s="18" t="n">
        <x:v>0</x:v>
      </x:c>
      <x:c r="L5" s="16" t="n">
        <x:v>3800</x:v>
      </x:c>
      <x:c r="M5" t="str">
        <x:v>Web</x:v>
      </x:c>
      <x:c r="N5" t="str">
        <x:v>Tarjeta crédito</x:v>
      </x:c>
    </x:row>
    <x:row r="6">
      <x:c r="A6" s="12" t="str">
        <x:v>2026-01-03</x:v>
      </x:c>
      <x:c r="B6" t="str">
        <x:v>V0076</x:v>
      </x:c>
      <x:c r="C6" t="str">
        <x:v>C005</x:v>
      </x:c>
      <x:c r="D6" t="str">
        <x:v>Camila Ruiz</x:v>
      </x:c>
      <x:c r="E6" t="str">
        <x:v>Nuevo</x:v>
      </x:c>
      <x:c r="F6" t="str">
        <x:v>La Plata</x:v>
      </x:c>
      <x:c r="G6" t="str">
        <x:v>Regla 30 cm</x:v>
      </x:c>
      <x:c r="H6" t="str">
        <x:v>Escolar</x:v>
      </x:c>
      <x:c r="I6" s="14" t="n">
        <x:v>3</x:v>
      </x:c>
      <x:c r="J6" s="16" t="n">
        <x:v>1100</x:v>
      </x:c>
      <x:c r="K6" s="18" t="n">
        <x:v>0</x:v>
      </x:c>
      <x:c r="L6" s="16" t="n">
        <x:v>3300</x:v>
      </x:c>
      <x:c r="M6" t="str">
        <x:v>Mostrador</x:v>
      </x:c>
      <x:c r="N6" t="str">
        <x:v>Tarjeta crédito</x:v>
      </x:c>
    </x:row>
    <x:row r="7">
      <x:c r="A7" s="12" t="str">
        <x:v>2026-01-04</x:v>
      </x:c>
      <x:c r="B7" t="str">
        <x:v>V0022</x:v>
      </x:c>
      <x:c r="C7" t="str">
        <x:v>C003</x:v>
      </x:c>
      <x:c r="D7" t="str">
        <x:v>Sofía Torres</x:v>
      </x:c>
      <x:c r="E7" t="str">
        <x:v>Recurrente</x:v>
      </x:c>
      <x:c r="F7" t="str">
        <x:v>Córdoba</x:v>
      </x:c>
      <x:c r="G7" t="str">
        <x:v>Cuaderno tapa dura A4</x:v>
      </x:c>
      <x:c r="H7" t="str">
        <x:v>Cuadernos</x:v>
      </x:c>
      <x:c r="I7" s="14" t="n">
        <x:v>1</x:v>
      </x:c>
      <x:c r="J7" s="16" t="n">
        <x:v>5200</x:v>
      </x:c>
      <x:c r="K7" s="18" t="n">
        <x:v>0</x:v>
      </x:c>
      <x:c r="L7" s="16" t="n">
        <x:v>5200</x:v>
      </x:c>
      <x:c r="M7" t="str">
        <x:v>WhatsApp</x:v>
      </x:c>
      <x:c r="N7" t="str">
        <x:v>Efectivo</x:v>
      </x:c>
    </x:row>
    <x:row r="8">
      <x:c r="A8" s="12" t="str">
        <x:v>2026-01-04</x:v>
      </x:c>
      <x:c r="B8" t="str">
        <x:v>V0027</x:v>
      </x:c>
      <x:c r="C8" t="str">
        <x:v>C013</x:v>
      </x:c>
      <x:c r="D8" t="str">
        <x:v>Agustina Vega</x:v>
      </x:c>
      <x:c r="E8" t="str">
        <x:v>Nuevo</x:v>
      </x:c>
      <x:c r="F8" t="str">
        <x:v>Córdoba</x:v>
      </x:c>
      <x:c r="G8" t="str">
        <x:v>Marcador permanente negro</x:v>
      </x:c>
      <x:c r="H8" t="str">
        <x:v>Escritura</x:v>
      </x:c>
      <x:c r="I8" s="14" t="n">
        <x:v>2</x:v>
      </x:c>
      <x:c r="J8" s="16" t="n">
        <x:v>1800</x:v>
      </x:c>
      <x:c r="K8" s="18" t="n">
        <x:v>0</x:v>
      </x:c>
      <x:c r="L8" s="16" t="n">
        <x:v>3600</x:v>
      </x:c>
      <x:c r="M8" t="str">
        <x:v>Mostrador</x:v>
      </x:c>
      <x:c r="N8" t="str">
        <x:v>Tarjeta crédito</x:v>
      </x:c>
    </x:row>
    <x:row r="9">
      <x:c r="A9" s="12" t="str">
        <x:v>2026-01-05</x:v>
      </x:c>
      <x:c r="B9" t="str">
        <x:v>V0015</x:v>
      </x:c>
      <x:c r="C9" t="str">
        <x:v>C004</x:v>
      </x:c>
      <x:c r="D9" t="str">
        <x:v>Diego Fernández</x:v>
      </x:c>
      <x:c r="E9" t="str">
        <x:v>Recurrente</x:v>
      </x:c>
      <x:c r="F9" t="str">
        <x:v>Rosario</x:v>
      </x:c>
      <x:c r="G9" t="str">
        <x:v>Lapicera negra</x:v>
      </x:c>
      <x:c r="H9" t="str">
        <x:v>Escritura</x:v>
      </x:c>
      <x:c r="I9" s="14" t="n">
        <x:v>5</x:v>
      </x:c>
      <x:c r="J9" s="16" t="n">
        <x:v>650</x:v>
      </x:c>
      <x:c r="K9" s="18" t="n">
        <x:v>0</x:v>
      </x:c>
      <x:c r="L9" s="16" t="n">
        <x:v>3250</x:v>
      </x:c>
      <x:c r="M9" t="str">
        <x:v>Mostrador</x:v>
      </x:c>
      <x:c r="N9" t="str">
        <x:v>Transferencia</x:v>
      </x:c>
    </x:row>
    <x:row r="10">
      <x:c r="A10" s="12" t="str">
        <x:v>2026-01-05</x:v>
      </x:c>
      <x:c r="B10" t="str">
        <x:v>V0038</x:v>
      </x:c>
      <x:c r="C10" t="str">
        <x:v>C022</x:v>
      </x:c>
      <x:c r="D10" t="str">
        <x:v>Estudio Contable López</x:v>
      </x:c>
      <x:c r="E10" t="str">
        <x:v>Mayorista</x:v>
      </x:c>
      <x:c r="F10" t="str">
        <x:v>Rosario</x:v>
      </x:c>
      <x:c r="G10" t="str">
        <x:v>Cuaderno universitario rayado</x:v>
      </x:c>
      <x:c r="H10" t="str">
        <x:v>Cuadernos</x:v>
      </x:c>
      <x:c r="I10" s="14" t="n">
        <x:v>15</x:v>
      </x:c>
      <x:c r="J10" s="16" t="n">
        <x:v>3800</x:v>
      </x:c>
      <x:c r="K10" s="18" t="n">
        <x:v>0.05</x:v>
      </x:c>
      <x:c r="L10" s="16" t="n">
        <x:v>56971.5</x:v>
      </x:c>
      <x:c r="M10" t="str">
        <x:v>Instagram</x:v>
      </x:c>
      <x:c r="N10" t="str">
        <x:v>Transferencia</x:v>
      </x:c>
    </x:row>
    <x:row r="11">
      <x:c r="A11" s="12" t="str">
        <x:v>2026-01-05</x:v>
      </x:c>
      <x:c r="B11" t="str">
        <x:v>V0044</x:v>
      </x:c>
      <x:c r="C11" t="str">
        <x:v>C022</x:v>
      </x:c>
      <x:c r="D11" t="str">
        <x:v>Estudio Contable López</x:v>
      </x:c>
      <x:c r="E11" t="str">
        <x:v>Mayorista</x:v>
      </x:c>
      <x:c r="F11" t="str">
        <x:v>Rosario</x:v>
      </x:c>
      <x:c r="G11" t="str">
        <x:v>Lapicera negra</x:v>
      </x:c>
      <x:c r="H11" t="str">
        <x:v>Escritura</x:v>
      </x:c>
      <x:c r="I11" s="14" t="n">
        <x:v>5</x:v>
      </x:c>
      <x:c r="J11" s="16" t="n">
        <x:v>650</x:v>
      </x:c>
      <x:c r="K11" s="18" t="n">
        <x:v>0.05</x:v>
      </x:c>
      <x:c r="L11" s="16" t="n">
        <x:v>3248.38</x:v>
      </x:c>
      <x:c r="M11" t="str">
        <x:v>Mercado Libre</x:v>
      </x:c>
      <x:c r="N11" t="str">
        <x:v>Efectivo</x:v>
      </x:c>
    </x:row>
    <x:row r="12">
      <x:c r="A12" s="12" t="str">
        <x:v>2026-01-05</x:v>
      </x:c>
      <x:c r="B12" t="str">
        <x:v>V0089</x:v>
      </x:c>
      <x:c r="C12" t="str">
        <x:v>C019</x:v>
      </x:c>
      <x:c r="D12" t="str">
        <x:v>Rocío Navarro</x:v>
      </x:c>
      <x:c r="E12" t="str">
        <x:v>Recurrente</x:v>
      </x:c>
      <x:c r="F12" t="str">
        <x:v>Córdoba</x:v>
      </x:c>
      <x:c r="G12" t="str">
        <x:v>Cuaderno universitario rayado</x:v>
      </x:c>
      <x:c r="H12" t="str">
        <x:v>Cuadernos</x:v>
      </x:c>
      <x:c r="I12" s="14" t="n">
        <x:v>1</x:v>
      </x:c>
      <x:c r="J12" s="16" t="n">
        <x:v>3800</x:v>
      </x:c>
      <x:c r="K12" s="18" t="n">
        <x:v>0</x:v>
      </x:c>
      <x:c r="L12" s="16" t="n">
        <x:v>3800</x:v>
      </x:c>
      <x:c r="M12" t="str">
        <x:v>WhatsApp</x:v>
      </x:c>
      <x:c r="N12" t="str">
        <x:v>Transferencia</x:v>
      </x:c>
    </x:row>
    <x:row r="13">
      <x:c r="A13" s="12" t="str">
        <x:v>2026-01-05</x:v>
      </x:c>
      <x:c r="B13" t="str">
        <x:v>V0105</x:v>
      </x:c>
      <x:c r="C13" t="str">
        <x:v>C020</x:v>
      </x:c>
      <x:c r="D13" t="str">
        <x:v>Empresa Norte SRL</x:v>
      </x:c>
      <x:c r="E13" t="str">
        <x:v>Mayorista</x:v>
      </x:c>
      <x:c r="F13" t="str">
        <x:v>CABA</x:v>
      </x:c>
      <x:c r="G13" t="str">
        <x:v>Regla 30 cm</x:v>
      </x:c>
      <x:c r="H13" t="str">
        <x:v>Escolar</x:v>
      </x:c>
      <x:c r="I13" s="14" t="n">
        <x:v>5</x:v>
      </x:c>
      <x:c r="J13" s="16" t="n">
        <x:v>1100</x:v>
      </x:c>
      <x:c r="K13" s="18" t="n">
        <x:v>0.05</x:v>
      </x:c>
      <x:c r="L13" s="16" t="n">
        <x:v>5497.25</x:v>
      </x:c>
      <x:c r="M13" t="str">
        <x:v>Mostrador</x:v>
      </x:c>
      <x:c r="N13" t="str">
        <x:v>Tarjeta débito</x:v>
      </x:c>
    </x:row>
    <x:row r="14">
      <x:c r="A14" s="12" t="str">
        <x:v>2026-01-05</x:v>
      </x:c>
      <x:c r="B14" t="str">
        <x:v>V0124</x:v>
      </x:c>
      <x:c r="C14" t="str">
        <x:v>C011</x:v>
      </x:c>
      <x:c r="D14" t="str">
        <x:v>Florencia Acosta</x:v>
      </x:c>
      <x:c r="E14" t="str">
        <x:v>Recurrente</x:v>
      </x:c>
      <x:c r="F14" t="str">
        <x:v>Mar del Plata</x:v>
      </x:c>
      <x:c r="G14" t="str">
        <x:v>Lapicera azul</x:v>
      </x:c>
      <x:c r="H14" t="str">
        <x:v>Escritura</x:v>
      </x:c>
      <x:c r="I14" s="14" t="n">
        <x:v>6</x:v>
      </x:c>
      <x:c r="J14" s="16" t="n">
        <x:v>650</x:v>
      </x:c>
      <x:c r="K14" s="18" t="n">
        <x:v>0</x:v>
      </x:c>
      <x:c r="L14" s="16" t="n">
        <x:v>3900</x:v>
      </x:c>
      <x:c r="M14" t="str">
        <x:v>Web</x:v>
      </x:c>
      <x:c r="N14" t="str">
        <x:v>Transferencia</x:v>
      </x:c>
    </x:row>
    <x:row r="15">
      <x:c r="A15" s="12" t="str">
        <x:v>2026-01-06</x:v>
      </x:c>
      <x:c r="B15" t="str">
        <x:v>V0085</x:v>
      </x:c>
      <x:c r="C15" t="str">
        <x:v>C012</x:v>
      </x:c>
      <x:c r="D15" t="str">
        <x:v>Mateo Benítez</x:v>
      </x:c>
      <x:c r="E15" t="str">
        <x:v>Recurrente</x:v>
      </x:c>
      <x:c r="F15" t="str">
        <x:v>CABA</x:v>
      </x:c>
      <x:c r="G15" t="str">
        <x:v>Lapicera azul</x:v>
      </x:c>
      <x:c r="H15" t="str">
        <x:v>Escritura</x:v>
      </x:c>
      <x:c r="I15" s="14" t="n">
        <x:v>2</x:v>
      </x:c>
      <x:c r="J15" s="16" t="n">
        <x:v>650</x:v>
      </x:c>
      <x:c r="K15" s="18" t="n">
        <x:v>0</x:v>
      </x:c>
      <x:c r="L15" s="16" t="n">
        <x:v>1300</x:v>
      </x:c>
      <x:c r="M15" t="str">
        <x:v>Mostrador</x:v>
      </x:c>
      <x:c r="N15" t="str">
        <x:v>Transferencia</x:v>
      </x:c>
    </x:row>
    <x:row r="16">
      <x:c r="A16" s="12" t="str">
        <x:v>2026-01-07</x:v>
      </x:c>
      <x:c r="B16" t="str">
        <x:v>V0010</x:v>
      </x:c>
      <x:c r="C16" t="str">
        <x:v>C011</x:v>
      </x:c>
      <x:c r="D16" t="str">
        <x:v>Florencia Acosta</x:v>
      </x:c>
      <x:c r="E16" t="str">
        <x:v>Recurrente</x:v>
      </x:c>
      <x:c r="F16" t="str">
        <x:v>Mar del Plata</x:v>
      </x:c>
      <x:c r="G16" t="str">
        <x:v>Resaltador amarillo</x:v>
      </x:c>
      <x:c r="H16" t="str">
        <x:v>Escritura</x:v>
      </x:c>
      <x:c r="I16" s="14" t="n">
        <x:v>3</x:v>
      </x:c>
      <x:c r="J16" s="16" t="n">
        <x:v>1200</x:v>
      </x:c>
      <x:c r="K16" s="18" t="n">
        <x:v>0</x:v>
      </x:c>
      <x:c r="L16" s="16" t="n">
        <x:v>3600</x:v>
      </x:c>
      <x:c r="M16" t="str">
        <x:v>WhatsApp</x:v>
      </x:c>
      <x:c r="N16" t="str">
        <x:v>Tarjeta débito</x:v>
      </x:c>
    </x:row>
    <x:row r="17">
      <x:c r="A17" s="12" t="str">
        <x:v>2026-01-07</x:v>
      </x:c>
      <x:c r="B17" t="str">
        <x:v>V0033</x:v>
      </x:c>
      <x:c r="C17" t="str">
        <x:v>C010</x:v>
      </x:c>
      <x:c r="D17" t="str">
        <x:v>Nicolás Romero</x:v>
      </x:c>
      <x:c r="E17" t="str">
        <x:v>Nuevo</x:v>
      </x:c>
      <x:c r="F17" t="str">
        <x:v>Rosario</x:v>
      </x:c>
      <x:c r="G17" t="str">
        <x:v>Cuaderno tapa dura A4</x:v>
      </x:c>
      <x:c r="H17" t="str">
        <x:v>Cuadernos</x:v>
      </x:c>
      <x:c r="I17" s="14" t="n">
        <x:v>2</x:v>
      </x:c>
      <x:c r="J17" s="16" t="n">
        <x:v>5200</x:v>
      </x:c>
      <x:c r="K17" s="18" t="n">
        <x:v>0</x:v>
      </x:c>
      <x:c r="L17" s="16" t="n">
        <x:v>10400</x:v>
      </x:c>
      <x:c r="M17" t="str">
        <x:v>Mostrador</x:v>
      </x:c>
      <x:c r="N17" t="str">
        <x:v>Efectivo</x:v>
      </x:c>
    </x:row>
    <x:row r="18">
      <x:c r="A18" s="12" t="str">
        <x:v>2026-01-07</x:v>
      </x:c>
      <x:c r="B18" t="str">
        <x:v>V0037</x:v>
      </x:c>
      <x:c r="C18" t="str">
        <x:v>C002</x:v>
      </x:c>
      <x:c r="D18" t="str">
        <x:v>Martín Gómez</x:v>
      </x:c>
      <x:c r="E18" t="str">
        <x:v>Nuevo</x:v>
      </x:c>
      <x:c r="F18" t="str">
        <x:v>CABA</x:v>
      </x:c>
      <x:c r="G18" t="str">
        <x:v>Cuaderno tapa dura A4</x:v>
      </x:c>
      <x:c r="H18" t="str">
        <x:v>Cuadernos</x:v>
      </x:c>
      <x:c r="I18" s="14" t="n">
        <x:v>1</x:v>
      </x:c>
      <x:c r="J18" s="16" t="n">
        <x:v>5200</x:v>
      </x:c>
      <x:c r="K18" s="18" t="n">
        <x:v>0.05</x:v>
      </x:c>
      <x:c r="L18" s="16" t="n">
        <x:v>5197.4</x:v>
      </x:c>
      <x:c r="M18" t="str">
        <x:v>Instagram</x:v>
      </x:c>
      <x:c r="N18" t="str">
        <x:v>Efectivo</x:v>
      </x:c>
    </x:row>
    <x:row r="19">
      <x:c r="A19" s="12" t="str">
        <x:v>2026-01-07</x:v>
      </x:c>
      <x:c r="B19" t="str">
        <x:v>V0117</x:v>
      </x:c>
      <x:c r="C19" t="str">
        <x:v>C022</x:v>
      </x:c>
      <x:c r="D19" t="str">
        <x:v>Estudio Contable López</x:v>
      </x:c>
      <x:c r="E19" t="str">
        <x:v>Mayorista</x:v>
      </x:c>
      <x:c r="F19" t="str">
        <x:v>Rosario</x:v>
      </x:c>
      <x:c r="G19" t="str">
        <x:v>Compás escolar</x:v>
      </x:c>
      <x:c r="H19" t="str">
        <x:v>Escolar</x:v>
      </x:c>
      <x:c r="I19" s="14" t="n">
        <x:v>12</x:v>
      </x:c>
      <x:c r="J19" s="16" t="n">
        <x:v>3200</x:v>
      </x:c>
      <x:c r="K19" s="18" t="n">
        <x:v>0.05</x:v>
      </x:c>
      <x:c r="L19" s="16" t="n">
        <x:v>38380.8</x:v>
      </x:c>
      <x:c r="M19" t="str">
        <x:v>WhatsApp</x:v>
      </x:c>
      <x:c r="N19" t="str">
        <x:v>Transferencia</x:v>
      </x:c>
    </x:row>
    <x:row r="20">
      <x:c r="A20" s="12" t="str">
        <x:v>2026-01-08</x:v>
      </x:c>
      <x:c r="B20" t="str">
        <x:v>V0065</x:v>
      </x:c>
      <x:c r="C20" t="str">
        <x:v>C013</x:v>
      </x:c>
      <x:c r="D20" t="str">
        <x:v>Agustina Vega</x:v>
      </x:c>
      <x:c r="E20" t="str">
        <x:v>Nuevo</x:v>
      </x:c>
      <x:c r="F20" t="str">
        <x:v>Córdoba</x:v>
      </x:c>
      <x:c r="G20" t="str">
        <x:v>Abrochadora mediana</x:v>
      </x:c>
      <x:c r="H20" t="str">
        <x:v>Oficina</x:v>
      </x:c>
      <x:c r="I20" s="14" t="n">
        <x:v>1</x:v>
      </x:c>
      <x:c r="J20" s="16" t="n">
        <x:v>5900</x:v>
      </x:c>
      <x:c r="K20" s="18" t="n">
        <x:v>0</x:v>
      </x:c>
      <x:c r="L20" s="16" t="n">
        <x:v>5900</x:v>
      </x:c>
      <x:c r="M20" t="str">
        <x:v>Mostrador</x:v>
      </x:c>
      <x:c r="N20" t="str">
        <x:v>Tarjeta débito</x:v>
      </x:c>
    </x:row>
    <x:row r="21">
      <x:c r="A21" s="12" t="str">
        <x:v>2026-01-08</x:v>
      </x:c>
      <x:c r="B21" t="str">
        <x:v>V0096</x:v>
      </x:c>
      <x:c r="C21" t="str">
        <x:v>C003</x:v>
      </x:c>
      <x:c r="D21" t="str">
        <x:v>Sofía Torres</x:v>
      </x:c>
      <x:c r="E21" t="str">
        <x:v>Recurrente</x:v>
      </x:c>
      <x:c r="F21" t="str">
        <x:v>Córdoba</x:v>
      </x:c>
      <x:c r="G21" t="str">
        <x:v>Carpeta A4 con elástico</x:v>
      </x:c>
      <x:c r="H21" t="str">
        <x:v>Organización</x:v>
      </x:c>
      <x:c r="I21" s="14" t="n">
        <x:v>2</x:v>
      </x:c>
      <x:c r="J21" s="16" t="n">
        <x:v>2800</x:v>
      </x:c>
      <x:c r="K21" s="18" t="n">
        <x:v>0</x:v>
      </x:c>
      <x:c r="L21" s="16" t="n">
        <x:v>5600</x:v>
      </x:c>
      <x:c r="M21" t="str">
        <x:v>Mostrador</x:v>
      </x:c>
      <x:c r="N21" t="str">
        <x:v>Transferencia</x:v>
      </x:c>
    </x:row>
    <x:row r="22">
      <x:c r="A22" s="12" t="str">
        <x:v>2026-01-08</x:v>
      </x:c>
      <x:c r="B22" t="str">
        <x:v>V0121</x:v>
      </x:c>
      <x:c r="C22" t="str">
        <x:v>C013</x:v>
      </x:c>
      <x:c r="D22" t="str">
        <x:v>Agustina Vega</x:v>
      </x:c>
      <x:c r="E22" t="str">
        <x:v>Nuevo</x:v>
      </x:c>
      <x:c r="F22" t="str">
        <x:v>Córdoba</x:v>
      </x:c>
      <x:c r="G22" t="str">
        <x:v>Cuaderno universitario cuadriculado</x:v>
      </x:c>
      <x:c r="H22" t="str">
        <x:v>Cuadernos</x:v>
      </x:c>
      <x:c r="I22" s="14" t="n">
        <x:v>2</x:v>
      </x:c>
      <x:c r="J22" s="16" t="n">
        <x:v>3900</x:v>
      </x:c>
      <x:c r="K22" s="18" t="n">
        <x:v>0</x:v>
      </x:c>
      <x:c r="L22" s="16" t="n">
        <x:v>7800</x:v>
      </x:c>
      <x:c r="M22" t="str">
        <x:v>Mercado Libre</x:v>
      </x:c>
      <x:c r="N22" t="str">
        <x:v>Efectivo</x:v>
      </x:c>
    </x:row>
    <x:row r="23">
      <x:c r="A23" s="12" t="str">
        <x:v>2026-01-09</x:v>
      </x:c>
      <x:c r="B23" t="str">
        <x:v>V0026</x:v>
      </x:c>
      <x:c r="C23" t="str">
        <x:v>C001</x:v>
      </x:c>
      <x:c r="D23" t="str">
        <x:v>Laura Pérez</x:v>
      </x:c>
      <x:c r="E23" t="str">
        <x:v>Recurrente</x:v>
      </x:c>
      <x:c r="F23" t="str">
        <x:v>CABA</x:v>
      </x:c>
      <x:c r="G23" t="str">
        <x:v>Resma A4 75g</x:v>
      </x:c>
      <x:c r="H23" t="str">
        <x:v>Papelería</x:v>
      </x:c>
      <x:c r="I23" s="14" t="n">
        <x:v>1</x:v>
      </x:c>
      <x:c r="J23" s="16" t="n">
        <x:v>7200</x:v>
      </x:c>
      <x:c r="K23" s="18" t="n">
        <x:v>0</x:v>
      </x:c>
      <x:c r="L23" s="16" t="n">
        <x:v>7200</x:v>
      </x:c>
      <x:c r="M23" t="str">
        <x:v>Web</x:v>
      </x:c>
      <x:c r="N23" t="str">
        <x:v>Tarjeta crédito</x:v>
      </x:c>
    </x:row>
    <x:row r="24">
      <x:c r="A24" s="12" t="str">
        <x:v>2026-01-09</x:v>
      </x:c>
      <x:c r="B24" t="str">
        <x:v>V0107</x:v>
      </x:c>
      <x:c r="C24" t="str">
        <x:v>C019</x:v>
      </x:c>
      <x:c r="D24" t="str">
        <x:v>Rocío Navarro</x:v>
      </x:c>
      <x:c r="E24" t="str">
        <x:v>Recurrente</x:v>
      </x:c>
      <x:c r="F24" t="str">
        <x:v>Córdoba</x:v>
      </x:c>
      <x:c r="G24" t="str">
        <x:v>Sacapuntas metálico</x:v>
      </x:c>
      <x:c r="H24" t="str">
        <x:v>Escolar</x:v>
      </x:c>
      <x:c r="I24" s="14" t="n">
        <x:v>2</x:v>
      </x:c>
      <x:c r="J24" s="16" t="n">
        <x:v>900</x:v>
      </x:c>
      <x:c r="K24" s="18" t="n">
        <x:v>0</x:v>
      </x:c>
      <x:c r="L24" s="16" t="n">
        <x:v>1800</x:v>
      </x:c>
      <x:c r="M24" t="str">
        <x:v>Instagram</x:v>
      </x:c>
      <x:c r="N24" t="str">
        <x:v>Transferencia</x:v>
      </x:c>
    </x:row>
    <x:row r="25">
      <x:c r="A25" s="12" t="str">
        <x:v>2026-01-09</x:v>
      </x:c>
      <x:c r="B25" t="str">
        <x:v>V0115</x:v>
      </x:c>
      <x:c r="C25" t="str">
        <x:v>C022</x:v>
      </x:c>
      <x:c r="D25" t="str">
        <x:v>Estudio Contable López</x:v>
      </x:c>
      <x:c r="E25" t="str">
        <x:v>Mayorista</x:v>
      </x:c>
      <x:c r="F25" t="str">
        <x:v>Rosario</x:v>
      </x:c>
      <x:c r="G25" t="str">
        <x:v>Broches 24/6</x:v>
      </x:c>
      <x:c r="H25" t="str">
        <x:v>Oficina</x:v>
      </x:c>
      <x:c r="I25" s="14" t="n">
        <x:v>15</x:v>
      </x:c>
      <x:c r="J25" s="16" t="n">
        <x:v>1500</x:v>
      </x:c>
      <x:c r="K25" s="18" t="n">
        <x:v>0.05</x:v>
      </x:c>
      <x:c r="L25" s="16" t="n">
        <x:v>22488.75</x:v>
      </x:c>
      <x:c r="M25" t="str">
        <x:v>Web</x:v>
      </x:c>
      <x:c r="N25" t="str">
        <x:v>Tarjeta débito</x:v>
      </x:c>
    </x:row>
    <x:row r="26">
      <x:c r="A26" s="12" t="str">
        <x:v>2026-01-09</x:v>
      </x:c>
      <x:c r="B26" t="str">
        <x:v>V0123</x:v>
      </x:c>
      <x:c r="C26" t="str">
        <x:v>C017</x:v>
      </x:c>
      <x:c r="D26" t="str">
        <x:v>Paula Méndez</x:v>
      </x:c>
      <x:c r="E26" t="str">
        <x:v>Recurrente</x:v>
      </x:c>
      <x:c r="F26" t="str">
        <x:v>Mendoza</x:v>
      </x:c>
      <x:c r="G26" t="str">
        <x:v>Marcador permanente negro</x:v>
      </x:c>
      <x:c r="H26" t="str">
        <x:v>Escritura</x:v>
      </x:c>
      <x:c r="I26" s="14" t="n">
        <x:v>1</x:v>
      </x:c>
      <x:c r="J26" s="16" t="n">
        <x:v>1800</x:v>
      </x:c>
      <x:c r="K26" s="18" t="n">
        <x:v>0</x:v>
      </x:c>
      <x:c r="L26" s="16" t="n">
        <x:v>1800</x:v>
      </x:c>
      <x:c r="M26" t="str">
        <x:v>Mostrador</x:v>
      </x:c>
      <x:c r="N26" t="str">
        <x:v>Tarjeta crédito</x:v>
      </x:c>
    </x:row>
    <x:row r="27">
      <x:c r="A27" s="12" t="str">
        <x:v>2026-01-10</x:v>
      </x:c>
      <x:c r="B27" t="str">
        <x:v>V0046</x:v>
      </x:c>
      <x:c r="C27" t="str">
        <x:v>C021</x:v>
      </x:c>
      <x:c r="D27" t="str">
        <x:v>Colegio San Martín</x:v>
      </x:c>
      <x:c r="E27" t="str">
        <x:v>Mayorista</x:v>
      </x:c>
      <x:c r="F27" t="str">
        <x:v>La Plata</x:v>
      </x:c>
      <x:c r="G27" t="str">
        <x:v>Cinta adhesiva transparente</x:v>
      </x:c>
      <x:c r="H27" t="str">
        <x:v>Oficina</x:v>
      </x:c>
      <x:c r="I27" s="14" t="n">
        <x:v>5</x:v>
      </x:c>
      <x:c r="J27" s="16" t="n">
        <x:v>1300</x:v>
      </x:c>
      <x:c r="K27" s="18" t="n">
        <x:v>0.12</x:v>
      </x:c>
      <x:c r="L27" s="16" t="n">
        <x:v>6492.2</x:v>
      </x:c>
      <x:c r="M27" t="str">
        <x:v>Mercado Libre</x:v>
      </x:c>
      <x:c r="N27" t="str">
        <x:v>Efectivo</x:v>
      </x:c>
    </x:row>
    <x:row r="28">
      <x:c r="A28" s="12" t="str">
        <x:v>2026-01-10</x:v>
      </x:c>
      <x:c r="B28" t="str">
        <x:v>V0056</x:v>
      </x:c>
      <x:c r="C28" t="str">
        <x:v>C020</x:v>
      </x:c>
      <x:c r="D28" t="str">
        <x:v>Empresa Norte SRL</x:v>
      </x:c>
      <x:c r="E28" t="str">
        <x:v>Mayorista</x:v>
      </x:c>
      <x:c r="F28" t="str">
        <x:v>CABA</x:v>
      </x:c>
      <x:c r="G28" t="str">
        <x:v>Cartulina color</x:v>
      </x:c>
      <x:c r="H28" t="str">
        <x:v>Papelería</x:v>
      </x:c>
      <x:c r="I28" s="14" t="n">
        <x:v>10</x:v>
      </x:c>
      <x:c r="J28" s="16" t="n">
        <x:v>850</x:v>
      </x:c>
      <x:c r="K28" s="18" t="n">
        <x:v>0.1</x:v>
      </x:c>
      <x:c r="L28" s="16" t="n">
        <x:v>8491.5</x:v>
      </x:c>
      <x:c r="M28" t="str">
        <x:v>Instagram</x:v>
      </x:c>
      <x:c r="N28" t="str">
        <x:v>Transferencia</x:v>
      </x:c>
    </x:row>
    <x:row r="29">
      <x:c r="A29" s="12" t="str">
        <x:v>2026-01-10</x:v>
      </x:c>
      <x:c r="B29" t="str">
        <x:v>V0058</x:v>
      </x:c>
      <x:c r="C29" t="str">
        <x:v>C001</x:v>
      </x:c>
      <x:c r="D29" t="str">
        <x:v>Laura Pérez</x:v>
      </x:c>
      <x:c r="E29" t="str">
        <x:v>Recurrente</x:v>
      </x:c>
      <x:c r="F29" t="str">
        <x:v>CABA</x:v>
      </x:c>
      <x:c r="G29" t="str">
        <x:v>Cuaderno universitario rayado</x:v>
      </x:c>
      <x:c r="H29" t="str">
        <x:v>Cuadernos</x:v>
      </x:c>
      <x:c r="I29" s="14" t="n">
        <x:v>2</x:v>
      </x:c>
      <x:c r="J29" s="16" t="n">
        <x:v>3800</x:v>
      </x:c>
      <x:c r="K29" s="18" t="n">
        <x:v>0</x:v>
      </x:c>
      <x:c r="L29" s="16" t="n">
        <x:v>7600</x:v>
      </x:c>
      <x:c r="M29" t="str">
        <x:v>WhatsApp</x:v>
      </x:c>
      <x:c r="N29" t="str">
        <x:v>Tarjeta débito</x:v>
      </x:c>
    </x:row>
    <x:row r="30">
      <x:c r="A30" s="12" t="str">
        <x:v>2026-01-10</x:v>
      </x:c>
      <x:c r="B30" t="str">
        <x:v>V0079</x:v>
      </x:c>
      <x:c r="C30" t="str">
        <x:v>C011</x:v>
      </x:c>
      <x:c r="D30" t="str">
        <x:v>Florencia Acosta</x:v>
      </x:c>
      <x:c r="E30" t="str">
        <x:v>Recurrente</x:v>
      </x:c>
      <x:c r="F30" t="str">
        <x:v>Mar del Plata</x:v>
      </x:c>
      <x:c r="G30" t="str">
        <x:v>Lápiz negro HB</x:v>
      </x:c>
      <x:c r="H30" t="str">
        <x:v>Escritura</x:v>
      </x:c>
      <x:c r="I30" s="14" t="n">
        <x:v>2</x:v>
      </x:c>
      <x:c r="J30" s="16" t="n">
        <x:v>450</x:v>
      </x:c>
      <x:c r="K30" s="18" t="n">
        <x:v>0</x:v>
      </x:c>
      <x:c r="L30" s="16" t="n">
        <x:v>900</x:v>
      </x:c>
      <x:c r="M30" t="str">
        <x:v>Mercado Libre</x:v>
      </x:c>
      <x:c r="N30" t="str">
        <x:v>Tarjeta débito</x:v>
      </x:c>
    </x:row>
    <x:row r="31">
      <x:c r="A31" s="12" t="str">
        <x:v>2026-01-10</x:v>
      </x:c>
      <x:c r="B31" t="str">
        <x:v>V0111</x:v>
      </x:c>
      <x:c r="C31" t="str">
        <x:v>C019</x:v>
      </x:c>
      <x:c r="D31" t="str">
        <x:v>Rocío Navarro</x:v>
      </x:c>
      <x:c r="E31" t="str">
        <x:v>Recurrente</x:v>
      </x:c>
      <x:c r="F31" t="str">
        <x:v>Córdoba</x:v>
      </x:c>
      <x:c r="G31" t="str">
        <x:v>Block de hojas A4 rayadas</x:v>
      </x:c>
      <x:c r="H31" t="str">
        <x:v>Papelería</x:v>
      </x:c>
      <x:c r="I31" s="14" t="n">
        <x:v>1</x:v>
      </x:c>
      <x:c r="J31" s="16" t="n">
        <x:v>3100</x:v>
      </x:c>
      <x:c r="K31" s="18" t="n">
        <x:v>0</x:v>
      </x:c>
      <x:c r="L31" s="16" t="n">
        <x:v>3100</x:v>
      </x:c>
      <x:c r="M31" t="str">
        <x:v>Instagram</x:v>
      </x:c>
      <x:c r="N31" t="str">
        <x:v>Tarjeta débito</x:v>
      </x:c>
    </x:row>
    <x:row r="32">
      <x:c r="A32" s="12" t="str">
        <x:v>2026-01-10</x:v>
      </x:c>
      <x:c r="B32" t="str">
        <x:v>V0112</x:v>
      </x:c>
      <x:c r="C32" t="str">
        <x:v>C020</x:v>
      </x:c>
      <x:c r="D32" t="str">
        <x:v>Empresa Norte SRL</x:v>
      </x:c>
      <x:c r="E32" t="str">
        <x:v>Mayorista</x:v>
      </x:c>
      <x:c r="F32" t="str">
        <x:v>CABA</x:v>
      </x:c>
      <x:c r="G32" t="str">
        <x:v>Lapicera azul</x:v>
      </x:c>
      <x:c r="H32" t="str">
        <x:v>Escritura</x:v>
      </x:c>
      <x:c r="I32" s="14" t="n">
        <x:v>8</x:v>
      </x:c>
      <x:c r="J32" s="16" t="n">
        <x:v>650</x:v>
      </x:c>
      <x:c r="K32" s="18" t="n">
        <x:v>0.1</x:v>
      </x:c>
      <x:c r="L32" s="16" t="n">
        <x:v>5194.8</x:v>
      </x:c>
      <x:c r="M32" t="str">
        <x:v>Instagram</x:v>
      </x:c>
      <x:c r="N32" t="str">
        <x:v>Tarjeta débito</x:v>
      </x:c>
    </x:row>
    <x:row r="33">
      <x:c r="A33" s="12" t="str">
        <x:v>2026-01-10</x:v>
      </x:c>
      <x:c r="B33" t="str">
        <x:v>V0116</x:v>
      </x:c>
      <x:c r="C33" t="str">
        <x:v>C014</x:v>
      </x:c>
      <x:c r="D33" t="str">
        <x:v>Lucas Peralta</x:v>
      </x:c>
      <x:c r="E33" t="str">
        <x:v>Recurrente</x:v>
      </x:c>
      <x:c r="F33" t="str">
        <x:v>La Plata</x:v>
      </x:c>
      <x:c r="G33" t="str">
        <x:v>Separadores escolares</x:v>
      </x:c>
      <x:c r="H33" t="str">
        <x:v>Organización</x:v>
      </x:c>
      <x:c r="I33" s="14" t="n">
        <x:v>1</x:v>
      </x:c>
      <x:c r="J33" s="16" t="n">
        <x:v>1600</x:v>
      </x:c>
      <x:c r="K33" s="18" t="n">
        <x:v>0</x:v>
      </x:c>
      <x:c r="L33" s="16" t="n">
        <x:v>1600</x:v>
      </x:c>
      <x:c r="M33" t="str">
        <x:v>Instagram</x:v>
      </x:c>
      <x:c r="N33" t="str">
        <x:v>Tarjeta crédito</x:v>
      </x:c>
    </x:row>
    <x:row r="34">
      <x:c r="A34" s="12" t="str">
        <x:v>2026-01-11</x:v>
      </x:c>
      <x:c r="B34" t="str">
        <x:v>V0045</x:v>
      </x:c>
      <x:c r="C34" t="str">
        <x:v>C015</x:v>
      </x:c>
      <x:c r="D34" t="str">
        <x:v>Brenda Luna</x:v>
      </x:c>
      <x:c r="E34" t="str">
        <x:v>Nuevo</x:v>
      </x:c>
      <x:c r="F34" t="str">
        <x:v>CABA</x:v>
      </x:c>
      <x:c r="G34" t="str">
        <x:v>Carpeta A4 con elástico</x:v>
      </x:c>
      <x:c r="H34" t="str">
        <x:v>Organización</x:v>
      </x:c>
      <x:c r="I34" s="14" t="n">
        <x:v>1</x:v>
      </x:c>
      <x:c r="J34" s="16" t="n">
        <x:v>2800</x:v>
      </x:c>
      <x:c r="K34" s="18" t="n">
        <x:v>0</x:v>
      </x:c>
      <x:c r="L34" s="16" t="n">
        <x:v>2800</x:v>
      </x:c>
      <x:c r="M34" t="str">
        <x:v>Web</x:v>
      </x:c>
      <x:c r="N34" t="str">
        <x:v>Transferencia</x:v>
      </x:c>
    </x:row>
    <x:row r="35">
      <x:c r="A35" s="12" t="str">
        <x:v>2026-01-11</x:v>
      </x:c>
      <x:c r="B35" t="str">
        <x:v>V0055</x:v>
      </x:c>
      <x:c r="C35" t="str">
        <x:v>C020</x:v>
      </x:c>
      <x:c r="D35" t="str">
        <x:v>Empresa Norte SRL</x:v>
      </x:c>
      <x:c r="E35" t="str">
        <x:v>Mayorista</x:v>
      </x:c>
      <x:c r="F35" t="str">
        <x:v>CABA</x:v>
      </x:c>
      <x:c r="G35" t="str">
        <x:v>Pegamento en barra</x:v>
      </x:c>
      <x:c r="H35" t="str">
        <x:v>Escolar</x:v>
      </x:c>
      <x:c r="I35" s="14" t="n">
        <x:v>8</x:v>
      </x:c>
      <x:c r="J35" s="16" t="n">
        <x:v>1000</x:v>
      </x:c>
      <x:c r="K35" s="18" t="n">
        <x:v>0.05</x:v>
      </x:c>
      <x:c r="L35" s="16" t="n">
        <x:v>7996</x:v>
      </x:c>
      <x:c r="M35" t="str">
        <x:v>Instagram</x:v>
      </x:c>
      <x:c r="N35" t="str">
        <x:v>Transferencia</x:v>
      </x:c>
    </x:row>
    <x:row r="36">
      <x:c r="A36" s="12" t="str">
        <x:v>2026-01-11</x:v>
      </x:c>
      <x:c r="B36" t="str">
        <x:v>V0064</x:v>
      </x:c>
      <x:c r="C36" t="str">
        <x:v>C006</x:v>
      </x:c>
      <x:c r="D36" t="str">
        <x:v>Andrés Molina</x:v>
      </x:c>
      <x:c r="E36" t="str">
        <x:v>Recurrente</x:v>
      </x:c>
      <x:c r="F36" t="str">
        <x:v>CABA</x:v>
      </x:c>
      <x:c r="G36" t="str">
        <x:v>Folios A4 x10</x:v>
      </x:c>
      <x:c r="H36" t="str">
        <x:v>Organización</x:v>
      </x:c>
      <x:c r="I36" s="14" t="n">
        <x:v>3</x:v>
      </x:c>
      <x:c r="J36" s="16" t="n">
        <x:v>1400</x:v>
      </x:c>
      <x:c r="K36" s="18" t="n">
        <x:v>0</x:v>
      </x:c>
      <x:c r="L36" s="16" t="n">
        <x:v>4200</x:v>
      </x:c>
      <x:c r="M36" t="str">
        <x:v>WhatsApp</x:v>
      </x:c>
      <x:c r="N36" t="str">
        <x:v>Transferencia</x:v>
      </x:c>
    </x:row>
    <x:row r="37">
      <x:c r="A37" s="12" t="str">
        <x:v>2026-01-11</x:v>
      </x:c>
      <x:c r="B37" t="str">
        <x:v>V0103</x:v>
      </x:c>
      <x:c r="C37" t="str">
        <x:v>C017</x:v>
      </x:c>
      <x:c r="D37" t="str">
        <x:v>Paula Méndez</x:v>
      </x:c>
      <x:c r="E37" t="str">
        <x:v>Recurrente</x:v>
      </x:c>
      <x:c r="F37" t="str">
        <x:v>Mendoza</x:v>
      </x:c>
      <x:c r="G37" t="str">
        <x:v>Lapicera azul</x:v>
      </x:c>
      <x:c r="H37" t="str">
        <x:v>Escritura</x:v>
      </x:c>
      <x:c r="I37" s="14" t="n">
        <x:v>6</x:v>
      </x:c>
      <x:c r="J37" s="16" t="n">
        <x:v>650</x:v>
      </x:c>
      <x:c r="K37" s="18" t="n">
        <x:v>0</x:v>
      </x:c>
      <x:c r="L37" s="16" t="n">
        <x:v>3900</x:v>
      </x:c>
      <x:c r="M37" t="str">
        <x:v>Mostrador</x:v>
      </x:c>
      <x:c r="N37" t="str">
        <x:v>Efectivo</x:v>
      </x:c>
    </x:row>
    <x:row r="38">
      <x:c r="A38" s="12" t="str">
        <x:v>2026-01-11</x:v>
      </x:c>
      <x:c r="B38" t="str">
        <x:v>V0104</x:v>
      </x:c>
      <x:c r="C38" t="str">
        <x:v>C012</x:v>
      </x:c>
      <x:c r="D38" t="str">
        <x:v>Mateo Benítez</x:v>
      </x:c>
      <x:c r="E38" t="str">
        <x:v>Recurrente</x:v>
      </x:c>
      <x:c r="F38" t="str">
        <x:v>CABA</x:v>
      </x:c>
      <x:c r="G38" t="str">
        <x:v>Compás escolar</x:v>
      </x:c>
      <x:c r="H38" t="str">
        <x:v>Escolar</x:v>
      </x:c>
      <x:c r="I38" s="14" t="n">
        <x:v>1</x:v>
      </x:c>
      <x:c r="J38" s="16" t="n">
        <x:v>3200</x:v>
      </x:c>
      <x:c r="K38" s="18" t="n">
        <x:v>0</x:v>
      </x:c>
      <x:c r="L38" s="16" t="n">
        <x:v>3200</x:v>
      </x:c>
      <x:c r="M38" t="str">
        <x:v>Mostrador</x:v>
      </x:c>
      <x:c r="N38" t="str">
        <x:v>Tarjeta crédito</x:v>
      </x:c>
    </x:row>
    <x:row r="39">
      <x:c r="A39" s="12" t="str">
        <x:v>2026-01-11</x:v>
      </x:c>
      <x:c r="B39" t="str">
        <x:v>V0106</x:v>
      </x:c>
      <x:c r="C39" t="str">
        <x:v>C003</x:v>
      </x:c>
      <x:c r="D39" t="str">
        <x:v>Sofía Torres</x:v>
      </x:c>
      <x:c r="E39" t="str">
        <x:v>Recurrente</x:v>
      </x:c>
      <x:c r="F39" t="str">
        <x:v>Córdoba</x:v>
      </x:c>
      <x:c r="G39" t="str">
        <x:v>Resaltador amarillo</x:v>
      </x:c>
      <x:c r="H39" t="str">
        <x:v>Escritura</x:v>
      </x:c>
      <x:c r="I39" s="14" t="n">
        <x:v>3</x:v>
      </x:c>
      <x:c r="J39" s="16" t="n">
        <x:v>1200</x:v>
      </x:c>
      <x:c r="K39" s="18" t="n">
        <x:v>0</x:v>
      </x:c>
      <x:c r="L39" s="16" t="n">
        <x:v>3600</x:v>
      </x:c>
      <x:c r="M39" t="str">
        <x:v>Instagram</x:v>
      </x:c>
      <x:c r="N39" t="str">
        <x:v>Tarjeta débito</x:v>
      </x:c>
    </x:row>
    <x:row r="40">
      <x:c r="A40" s="12" t="str">
        <x:v>2026-01-11</x:v>
      </x:c>
      <x:c r="B40" t="str">
        <x:v>V0113</x:v>
      </x:c>
      <x:c r="C40" t="str">
        <x:v>C011</x:v>
      </x:c>
      <x:c r="D40" t="str">
        <x:v>Florencia Acosta</x:v>
      </x:c>
      <x:c r="E40" t="str">
        <x:v>Recurrente</x:v>
      </x:c>
      <x:c r="F40" t="str">
        <x:v>Mar del Plata</x:v>
      </x:c>
      <x:c r="G40" t="str">
        <x:v>Cuaderno tapa dura A4</x:v>
      </x:c>
      <x:c r="H40" t="str">
        <x:v>Cuadernos</x:v>
      </x:c>
      <x:c r="I40" s="14" t="n">
        <x:v>2</x:v>
      </x:c>
      <x:c r="J40" s="16" t="n">
        <x:v>5200</x:v>
      </x:c>
      <x:c r="K40" s="18" t="n">
        <x:v>0</x:v>
      </x:c>
      <x:c r="L40" s="16" t="n">
        <x:v>10400</x:v>
      </x:c>
      <x:c r="M40" t="str">
        <x:v>Web</x:v>
      </x:c>
      <x:c r="N40" t="str">
        <x:v>Transferencia</x:v>
      </x:c>
    </x:row>
    <x:row r="41">
      <x:c r="A41" s="12" t="str">
        <x:v>2026-01-12</x:v>
      </x:c>
      <x:c r="B41" t="str">
        <x:v>V0005</x:v>
      </x:c>
      <x:c r="C41" t="str">
        <x:v>C003</x:v>
      </x:c>
      <x:c r="D41" t="str">
        <x:v>Sofía Torres</x:v>
      </x:c>
      <x:c r="E41" t="str">
        <x:v>Recurrente</x:v>
      </x:c>
      <x:c r="F41" t="str">
        <x:v>Córdoba</x:v>
      </x:c>
      <x:c r="G41" t="str">
        <x:v>Sacapuntas metálico</x:v>
      </x:c>
      <x:c r="H41" t="str">
        <x:v>Escolar</x:v>
      </x:c>
      <x:c r="I41" s="14" t="n">
        <x:v>2</x:v>
      </x:c>
      <x:c r="J41" s="16" t="n">
        <x:v>900</x:v>
      </x:c>
      <x:c r="K41" s="18" t="n">
        <x:v>0</x:v>
      </x:c>
      <x:c r="L41" s="16" t="n">
        <x:v>1800</x:v>
      </x:c>
      <x:c r="M41" t="str">
        <x:v>Instagram</x:v>
      </x:c>
      <x:c r="N41" t="str">
        <x:v>Tarjeta débito</x:v>
      </x:c>
    </x:row>
    <x:row r="42">
      <x:c r="A42" s="12" t="str">
        <x:v>2026-01-12</x:v>
      </x:c>
      <x:c r="B42" t="str">
        <x:v>V0047</x:v>
      </x:c>
      <x:c r="C42" t="str">
        <x:v>C019</x:v>
      </x:c>
      <x:c r="D42" t="str">
        <x:v>Rocío Navarro</x:v>
      </x:c>
      <x:c r="E42" t="str">
        <x:v>Recurrente</x:v>
      </x:c>
      <x:c r="F42" t="str">
        <x:v>Córdoba</x:v>
      </x:c>
      <x:c r="G42" t="str">
        <x:v>Block de hojas A4 rayadas</x:v>
      </x:c>
      <x:c r="H42" t="str">
        <x:v>Papelería</x:v>
      </x:c>
      <x:c r="I42" s="14" t="n">
        <x:v>2</x:v>
      </x:c>
      <x:c r="J42" s="16" t="n">
        <x:v>3100</x:v>
      </x:c>
      <x:c r="K42" s="18" t="n">
        <x:v>0</x:v>
      </x:c>
      <x:c r="L42" s="16" t="n">
        <x:v>6200</x:v>
      </x:c>
      <x:c r="M42" t="str">
        <x:v>WhatsApp</x:v>
      </x:c>
      <x:c r="N42" t="str">
        <x:v>Tarjeta débito</x:v>
      </x:c>
    </x:row>
    <x:row r="43">
      <x:c r="A43" s="12" t="str">
        <x:v>2026-01-12</x:v>
      </x:c>
      <x:c r="B43" t="str">
        <x:v>V0061</x:v>
      </x:c>
      <x:c r="C43" t="str">
        <x:v>C016</x:v>
      </x:c>
      <x:c r="D43" t="str">
        <x:v>Federico Arias</x:v>
      </x:c>
      <x:c r="E43" t="str">
        <x:v>Recurrente</x:v>
      </x:c>
      <x:c r="F43" t="str">
        <x:v>Rosario</x:v>
      </x:c>
      <x:c r="G43" t="str">
        <x:v>Resma A4 75g</x:v>
      </x:c>
      <x:c r="H43" t="str">
        <x:v>Papelería</x:v>
      </x:c>
      <x:c r="I43" s="14" t="n">
        <x:v>1</x:v>
      </x:c>
      <x:c r="J43" s="16" t="n">
        <x:v>7200</x:v>
      </x:c>
      <x:c r="K43" s="18" t="n">
        <x:v>0</x:v>
      </x:c>
      <x:c r="L43" s="16" t="n">
        <x:v>7200</x:v>
      </x:c>
      <x:c r="M43" t="str">
        <x:v>Mostrador</x:v>
      </x:c>
      <x:c r="N43" t="str">
        <x:v>Transferencia</x:v>
      </x:c>
    </x:row>
    <x:row r="44">
      <x:c r="A44" s="12" t="str">
        <x:v>2026-01-12</x:v>
      </x:c>
      <x:c r="B44" t="str">
        <x:v>V0082</x:v>
      </x:c>
      <x:c r="C44" t="str">
        <x:v>C006</x:v>
      </x:c>
      <x:c r="D44" t="str">
        <x:v>Andrés Molina</x:v>
      </x:c>
      <x:c r="E44" t="str">
        <x:v>Recurrente</x:v>
      </x:c>
      <x:c r="F44" t="str">
        <x:v>CABA</x:v>
      </x:c>
      <x:c r="G44" t="str">
        <x:v>Goma de borrar blanca</x:v>
      </x:c>
      <x:c r="H44" t="str">
        <x:v>Escolar</x:v>
      </x:c>
      <x:c r="I44" s="14" t="n">
        <x:v>2</x:v>
      </x:c>
      <x:c r="J44" s="16" t="n">
        <x:v>500</x:v>
      </x:c>
      <x:c r="K44" s="18" t="n">
        <x:v>0</x:v>
      </x:c>
      <x:c r="L44" s="16" t="n">
        <x:v>1000</x:v>
      </x:c>
      <x:c r="M44" t="str">
        <x:v>Web</x:v>
      </x:c>
      <x:c r="N44" t="str">
        <x:v>Transferencia</x:v>
      </x:c>
    </x:row>
    <x:row r="45">
      <x:c r="A45" s="12" t="str">
        <x:v>2026-01-12</x:v>
      </x:c>
      <x:c r="B45" t="str">
        <x:v>V0093</x:v>
      </x:c>
      <x:c r="C45" t="str">
        <x:v>C020</x:v>
      </x:c>
      <x:c r="D45" t="str">
        <x:v>Empresa Norte SRL</x:v>
      </x:c>
      <x:c r="E45" t="str">
        <x:v>Mayorista</x:v>
      </x:c>
      <x:c r="F45" t="str">
        <x:v>CABA</x:v>
      </x:c>
      <x:c r="G45" t="str">
        <x:v>Broches 24/6</x:v>
      </x:c>
      <x:c r="H45" t="str">
        <x:v>Oficina</x:v>
      </x:c>
      <x:c r="I45" s="14" t="n">
        <x:v>5</x:v>
      </x:c>
      <x:c r="J45" s="16" t="n">
        <x:v>1500</x:v>
      </x:c>
      <x:c r="K45" s="18" t="n">
        <x:v>0.1</x:v>
      </x:c>
      <x:c r="L45" s="16" t="n">
        <x:v>7492.5</x:v>
      </x:c>
      <x:c r="M45" t="str">
        <x:v>Web</x:v>
      </x:c>
      <x:c r="N45" t="str">
        <x:v>Efectivo</x:v>
      </x:c>
    </x:row>
    <x:row r="46">
      <x:c r="A46" s="12" t="str">
        <x:v>2026-01-12</x:v>
      </x:c>
      <x:c r="B46" t="str">
        <x:v>V0118</x:v>
      </x:c>
      <x:c r="C46" t="str">
        <x:v>C017</x:v>
      </x:c>
      <x:c r="D46" t="str">
        <x:v>Paula Méndez</x:v>
      </x:c>
      <x:c r="E46" t="str">
        <x:v>Recurrente</x:v>
      </x:c>
      <x:c r="F46" t="str">
        <x:v>Mendoza</x:v>
      </x:c>
      <x:c r="G46" t="str">
        <x:v>Cinta adhesiva transparente</x:v>
      </x:c>
      <x:c r="H46" t="str">
        <x:v>Oficina</x:v>
      </x:c>
      <x:c r="I46" s="14" t="n">
        <x:v>2</x:v>
      </x:c>
      <x:c r="J46" s="16" t="n">
        <x:v>1300</x:v>
      </x:c>
      <x:c r="K46" s="18" t="n">
        <x:v>0</x:v>
      </x:c>
      <x:c r="L46" s="16" t="n">
        <x:v>2600</x:v>
      </x:c>
      <x:c r="M46" t="str">
        <x:v>WhatsApp</x:v>
      </x:c>
      <x:c r="N46" t="str">
        <x:v>Tarjeta débito</x:v>
      </x:c>
    </x:row>
    <x:row r="47">
      <x:c r="A47" s="12" t="str">
        <x:v>2026-01-13</x:v>
      </x:c>
      <x:c r="B47" t="str">
        <x:v>V0009</x:v>
      </x:c>
      <x:c r="C47" t="str">
        <x:v>C006</x:v>
      </x:c>
      <x:c r="D47" t="str">
        <x:v>Andrés Molina</x:v>
      </x:c>
      <x:c r="E47" t="str">
        <x:v>Recurrente</x:v>
      </x:c>
      <x:c r="F47" t="str">
        <x:v>CABA</x:v>
      </x:c>
      <x:c r="G47" t="str">
        <x:v>Resaltador amarillo</x:v>
      </x:c>
      <x:c r="H47" t="str">
        <x:v>Escritura</x:v>
      </x:c>
      <x:c r="I47" s="14" t="n">
        <x:v>1</x:v>
      </x:c>
      <x:c r="J47" s="16" t="n">
        <x:v>1200</x:v>
      </x:c>
      <x:c r="K47" s="18" t="n">
        <x:v>0</x:v>
      </x:c>
      <x:c r="L47" s="16" t="n">
        <x:v>1200</x:v>
      </x:c>
      <x:c r="M47" t="str">
        <x:v>Mostrador</x:v>
      </x:c>
      <x:c r="N47" t="str">
        <x:v>Tarjeta débito</x:v>
      </x:c>
    </x:row>
    <x:row r="48">
      <x:c r="A48" s="12" t="str">
        <x:v>2026-01-13</x:v>
      </x:c>
      <x:c r="B48" t="str">
        <x:v>V0021</x:v>
      </x:c>
      <x:c r="C48" t="str">
        <x:v>C021</x:v>
      </x:c>
      <x:c r="D48" t="str">
        <x:v>Colegio San Martín</x:v>
      </x:c>
      <x:c r="E48" t="str">
        <x:v>Mayorista</x:v>
      </x:c>
      <x:c r="F48" t="str">
        <x:v>La Plata</x:v>
      </x:c>
      <x:c r="G48" t="str">
        <x:v>Broches 24/6</x:v>
      </x:c>
      <x:c r="H48" t="str">
        <x:v>Oficina</x:v>
      </x:c>
      <x:c r="I48" s="14" t="n">
        <x:v>10</x:v>
      </x:c>
      <x:c r="J48" s="16" t="n">
        <x:v>1500</x:v>
      </x:c>
      <x:c r="K48" s="18" t="n">
        <x:v>0.08</x:v>
      </x:c>
      <x:c r="L48" s="16" t="n">
        <x:v>14988</x:v>
      </x:c>
      <x:c r="M48" t="str">
        <x:v>Mostrador</x:v>
      </x:c>
      <x:c r="N48" t="str">
        <x:v>Tarjeta crédito</x:v>
      </x:c>
    </x:row>
    <x:row r="49">
      <x:c r="A49" s="12" t="str">
        <x:v>2026-01-13</x:v>
      </x:c>
      <x:c r="B49" t="str">
        <x:v>V0042</x:v>
      </x:c>
      <x:c r="C49" t="str">
        <x:v>C021</x:v>
      </x:c>
      <x:c r="D49" t="str">
        <x:v>Colegio San Martín</x:v>
      </x:c>
      <x:c r="E49" t="str">
        <x:v>Mayorista</x:v>
      </x:c>
      <x:c r="F49" t="str">
        <x:v>La Plata</x:v>
      </x:c>
      <x:c r="G49" t="str">
        <x:v>Pegamento en barra</x:v>
      </x:c>
      <x:c r="H49" t="str">
        <x:v>Escolar</x:v>
      </x:c>
      <x:c r="I49" s="14" t="n">
        <x:v>10</x:v>
      </x:c>
      <x:c r="J49" s="16" t="n">
        <x:v>1000</x:v>
      </x:c>
      <x:c r="K49" s="18" t="n">
        <x:v>0.1</x:v>
      </x:c>
      <x:c r="L49" s="16" t="n">
        <x:v>9990</x:v>
      </x:c>
      <x:c r="M49" t="str">
        <x:v>Mostrador</x:v>
      </x:c>
      <x:c r="N49" t="str">
        <x:v>Tarjeta crédito</x:v>
      </x:c>
    </x:row>
    <x:row r="50">
      <x:c r="A50" s="12" t="str">
        <x:v>2026-01-13</x:v>
      </x:c>
      <x:c r="B50" t="str">
        <x:v>V0099</x:v>
      </x:c>
      <x:c r="C50" t="str">
        <x:v>C017</x:v>
      </x:c>
      <x:c r="D50" t="str">
        <x:v>Paula Méndez</x:v>
      </x:c>
      <x:c r="E50" t="str">
        <x:v>Recurrente</x:v>
      </x:c>
      <x:c r="F50" t="str">
        <x:v>Mendoza</x:v>
      </x:c>
      <x:c r="G50" t="str">
        <x:v>Resaltador amarillo</x:v>
      </x:c>
      <x:c r="H50" t="str">
        <x:v>Escritura</x:v>
      </x:c>
      <x:c r="I50" s="14" t="n">
        <x:v>2</x:v>
      </x:c>
      <x:c r="J50" s="16" t="n">
        <x:v>1200</x:v>
      </x:c>
      <x:c r="K50" s="18" t="n">
        <x:v>0</x:v>
      </x:c>
      <x:c r="L50" s="16" t="n">
        <x:v>2400</x:v>
      </x:c>
      <x:c r="M50" t="str">
        <x:v>Mercado Libre</x:v>
      </x:c>
      <x:c r="N50" t="str">
        <x:v>Transferencia</x:v>
      </x:c>
    </x:row>
    <x:row r="51">
      <x:c r="A51" s="12" t="str">
        <x:v>2026-01-13</x:v>
      </x:c>
      <x:c r="B51" t="str">
        <x:v>V0102</x:v>
      </x:c>
      <x:c r="C51" t="str">
        <x:v>C005</x:v>
      </x:c>
      <x:c r="D51" t="str">
        <x:v>Camila Ruiz</x:v>
      </x:c>
      <x:c r="E51" t="str">
        <x:v>Nuevo</x:v>
      </x:c>
      <x:c r="F51" t="str">
        <x:v>La Plata</x:v>
      </x:c>
      <x:c r="G51" t="str">
        <x:v>Lápiz negro HB</x:v>
      </x:c>
      <x:c r="H51" t="str">
        <x:v>Escritura</x:v>
      </x:c>
      <x:c r="I51" s="14" t="n">
        <x:v>4</x:v>
      </x:c>
      <x:c r="J51" s="16" t="n">
        <x:v>450</x:v>
      </x:c>
      <x:c r="K51" s="18" t="n">
        <x:v>0</x:v>
      </x:c>
      <x:c r="L51" s="16" t="n">
        <x:v>1800</x:v>
      </x:c>
      <x:c r="M51" t="str">
        <x:v>Mostrador</x:v>
      </x:c>
      <x:c r="N51" t="str">
        <x:v>Efectivo</x:v>
      </x:c>
    </x:row>
    <x:row r="52">
      <x:c r="A52" s="12" t="str">
        <x:v>2026-01-14</x:v>
      </x:c>
      <x:c r="B52" t="str">
        <x:v>V0030</x:v>
      </x:c>
      <x:c r="C52" t="str">
        <x:v>C018</x:v>
      </x:c>
      <x:c r="D52" t="str">
        <x:v>Joaquín Suárez</x:v>
      </x:c>
      <x:c r="E52" t="str">
        <x:v>Nuevo</x:v>
      </x:c>
      <x:c r="F52" t="str">
        <x:v>CABA</x:v>
      </x:c>
      <x:c r="G52" t="str">
        <x:v>Abrochadora mediana</x:v>
      </x:c>
      <x:c r="H52" t="str">
        <x:v>Oficina</x:v>
      </x:c>
      <x:c r="I52" s="14" t="n">
        <x:v>1</x:v>
      </x:c>
      <x:c r="J52" s="16" t="n">
        <x:v>5900</x:v>
      </x:c>
      <x:c r="K52" s="18" t="n">
        <x:v>0</x:v>
      </x:c>
      <x:c r="L52" s="16" t="n">
        <x:v>5900</x:v>
      </x:c>
      <x:c r="M52" t="str">
        <x:v>Mostrador</x:v>
      </x:c>
      <x:c r="N52" t="str">
        <x:v>Transferencia</x:v>
      </x:c>
    </x:row>
    <x:row r="53">
      <x:c r="A53" s="12" t="str">
        <x:v>2026-01-14</x:v>
      </x:c>
      <x:c r="B53" t="str">
        <x:v>V0034</x:v>
      </x:c>
      <x:c r="C53" t="str">
        <x:v>C007</x:v>
      </x:c>
      <x:c r="D53" t="str">
        <x:v>Valentina Silva</x:v>
      </x:c>
      <x:c r="E53" t="str">
        <x:v>Nuevo</x:v>
      </x:c>
      <x:c r="F53" t="str">
        <x:v>Mendoza</x:v>
      </x:c>
      <x:c r="G53" t="str">
        <x:v>Folios A4 x10</x:v>
      </x:c>
      <x:c r="H53" t="str">
        <x:v>Organización</x:v>
      </x:c>
      <x:c r="I53" s="14" t="n">
        <x:v>2</x:v>
      </x:c>
      <x:c r="J53" s="16" t="n">
        <x:v>1400</x:v>
      </x:c>
      <x:c r="K53" s="18" t="n">
        <x:v>0</x:v>
      </x:c>
      <x:c r="L53" s="16" t="n">
        <x:v>2800</x:v>
      </x:c>
      <x:c r="M53" t="str">
        <x:v>Mercado Libre</x:v>
      </x:c>
      <x:c r="N53" t="str">
        <x:v>Tarjeta débito</x:v>
      </x:c>
    </x:row>
    <x:row r="54">
      <x:c r="A54" s="12" t="str">
        <x:v>2026-01-14</x:v>
      </x:c>
      <x:c r="B54" t="str">
        <x:v>V0040</x:v>
      </x:c>
      <x:c r="C54" t="str">
        <x:v>C004</x:v>
      </x:c>
      <x:c r="D54" t="str">
        <x:v>Diego Fernández</x:v>
      </x:c>
      <x:c r="E54" t="str">
        <x:v>Recurrente</x:v>
      </x:c>
      <x:c r="F54" t="str">
        <x:v>Rosario</x:v>
      </x:c>
      <x:c r="G54" t="str">
        <x:v>Block de hojas A4 rayadas</x:v>
      </x:c>
      <x:c r="H54" t="str">
        <x:v>Papelería</x:v>
      </x:c>
      <x:c r="I54" s="14" t="n">
        <x:v>2</x:v>
      </x:c>
      <x:c r="J54" s="16" t="n">
        <x:v>3100</x:v>
      </x:c>
      <x:c r="K54" s="18" t="n">
        <x:v>0</x:v>
      </x:c>
      <x:c r="L54" s="16" t="n">
        <x:v>6200</x:v>
      </x:c>
      <x:c r="M54" t="str">
        <x:v>Mercado Libre</x:v>
      </x:c>
      <x:c r="N54" t="str">
        <x:v>Efectivo</x:v>
      </x:c>
    </x:row>
    <x:row r="55">
      <x:c r="A55" s="12" t="str">
        <x:v>2026-01-14</x:v>
      </x:c>
      <x:c r="B55" t="str">
        <x:v>V0054</x:v>
      </x:c>
      <x:c r="C55" t="str">
        <x:v>C021</x:v>
      </x:c>
      <x:c r="D55" t="str">
        <x:v>Colegio San Martín</x:v>
      </x:c>
      <x:c r="E55" t="str">
        <x:v>Mayorista</x:v>
      </x:c>
      <x:c r="F55" t="str">
        <x:v>La Plata</x:v>
      </x:c>
      <x:c r="G55" t="str">
        <x:v>Cinta adhesiva transparente</x:v>
      </x:c>
      <x:c r="H55" t="str">
        <x:v>Oficina</x:v>
      </x:c>
      <x:c r="I55" s="14" t="n">
        <x:v>8</x:v>
      </x:c>
      <x:c r="J55" s="16" t="n">
        <x:v>1300</x:v>
      </x:c>
      <x:c r="K55" s="18" t="n">
        <x:v>0.08</x:v>
      </x:c>
      <x:c r="L55" s="16" t="n">
        <x:v>10391.68</x:v>
      </x:c>
      <x:c r="M55" t="str">
        <x:v>Mercado Libre</x:v>
      </x:c>
      <x:c r="N55" t="str">
        <x:v>Transferencia</x:v>
      </x:c>
    </x:row>
    <x:row r="56">
      <x:c r="A56" s="12" t="str">
        <x:v>2026-01-14</x:v>
      </x:c>
      <x:c r="B56" t="str">
        <x:v>V0075</x:v>
      </x:c>
      <x:c r="C56" t="str">
        <x:v>C017</x:v>
      </x:c>
      <x:c r="D56" t="str">
        <x:v>Paula Méndez</x:v>
      </x:c>
      <x:c r="E56" t="str">
        <x:v>Recurrente</x:v>
      </x:c>
      <x:c r="F56" t="str">
        <x:v>Mendoza</x:v>
      </x:c>
      <x:c r="G56" t="str">
        <x:v>Resma A4 75g</x:v>
      </x:c>
      <x:c r="H56" t="str">
        <x:v>Papelería</x:v>
      </x:c>
      <x:c r="I56" s="14" t="n">
        <x:v>1</x:v>
      </x:c>
      <x:c r="J56" s="16" t="n">
        <x:v>7200</x:v>
      </x:c>
      <x:c r="K56" s="18" t="n">
        <x:v>0</x:v>
      </x:c>
      <x:c r="L56" s="16" t="n">
        <x:v>7200</x:v>
      </x:c>
      <x:c r="M56" t="str">
        <x:v>WhatsApp</x:v>
      </x:c>
      <x:c r="N56" t="str">
        <x:v>Transferencia</x:v>
      </x:c>
    </x:row>
    <x:row r="57">
      <x:c r="A57" s="12" t="str">
        <x:v>2026-01-14</x:v>
      </x:c>
      <x:c r="B57" t="str">
        <x:v>V0119</x:v>
      </x:c>
      <x:c r="C57" t="str">
        <x:v>C020</x:v>
      </x:c>
      <x:c r="D57" t="str">
        <x:v>Empresa Norte SRL</x:v>
      </x:c>
      <x:c r="E57" t="str">
        <x:v>Mayorista</x:v>
      </x:c>
      <x:c r="F57" t="str">
        <x:v>CABA</x:v>
      </x:c>
      <x:c r="G57" t="str">
        <x:v>Cuaderno universitario rayado</x:v>
      </x:c>
      <x:c r="H57" t="str">
        <x:v>Cuadernos</x:v>
      </x:c>
      <x:c r="I57" s="14" t="n">
        <x:v>12</x:v>
      </x:c>
      <x:c r="J57" s="16" t="n">
        <x:v>3800</x:v>
      </x:c>
      <x:c r="K57" s="18" t="n">
        <x:v>0.05</x:v>
      </x:c>
      <x:c r="L57" s="16" t="n">
        <x:v>45577.2</x:v>
      </x:c>
      <x:c r="M57" t="str">
        <x:v>WhatsApp</x:v>
      </x:c>
      <x:c r="N57" t="str">
        <x:v>Transferencia</x:v>
      </x:c>
    </x:row>
    <x:row r="58">
      <x:c r="A58" s="12" t="str">
        <x:v>2026-01-15</x:v>
      </x:c>
      <x:c r="B58" t="str">
        <x:v>V0029</x:v>
      </x:c>
      <x:c r="C58" t="str">
        <x:v>C009</x:v>
      </x:c>
      <x:c r="D58" t="str">
        <x:v>Julieta Castro</x:v>
      </x:c>
      <x:c r="E58" t="str">
        <x:v>Recurrente</x:v>
      </x:c>
      <x:c r="F58" t="str">
        <x:v>CABA</x:v>
      </x:c>
      <x:c r="G58" t="str">
        <x:v>Regla 30 cm</x:v>
      </x:c>
      <x:c r="H58" t="str">
        <x:v>Escolar</x:v>
      </x:c>
      <x:c r="I58" s="14" t="n">
        <x:v>1</x:v>
      </x:c>
      <x:c r="J58" s="16" t="n">
        <x:v>1100</x:v>
      </x:c>
      <x:c r="K58" s="18" t="n">
        <x:v>0</x:v>
      </x:c>
      <x:c r="L58" s="16" t="n">
        <x:v>1100</x:v>
      </x:c>
      <x:c r="M58" t="str">
        <x:v>Web</x:v>
      </x:c>
      <x:c r="N58" t="str">
        <x:v>Efectivo</x:v>
      </x:c>
    </x:row>
    <x:row r="59">
      <x:c r="A59" s="12" t="str">
        <x:v>2026-01-15</x:v>
      </x:c>
      <x:c r="B59" t="str">
        <x:v>V0031</x:v>
      </x:c>
      <x:c r="C59" t="str">
        <x:v>C005</x:v>
      </x:c>
      <x:c r="D59" t="str">
        <x:v>Camila Ruiz</x:v>
      </x:c>
      <x:c r="E59" t="str">
        <x:v>Nuevo</x:v>
      </x:c>
      <x:c r="F59" t="str">
        <x:v>La Plata</x:v>
      </x:c>
      <x:c r="G59" t="str">
        <x:v>Compás escolar</x:v>
      </x:c>
      <x:c r="H59" t="str">
        <x:v>Escolar</x:v>
      </x:c>
      <x:c r="I59" s="14" t="n">
        <x:v>1</x:v>
      </x:c>
      <x:c r="J59" s="16" t="n">
        <x:v>3200</x:v>
      </x:c>
      <x:c r="K59" s="18" t="n">
        <x:v>0</x:v>
      </x:c>
      <x:c r="L59" s="16" t="n">
        <x:v>3200</x:v>
      </x:c>
      <x:c r="M59" t="str">
        <x:v>Web</x:v>
      </x:c>
      <x:c r="N59" t="str">
        <x:v>Transferencia</x:v>
      </x:c>
    </x:row>
    <x:row r="60">
      <x:c r="A60" s="12" t="str">
        <x:v>2026-01-15</x:v>
      </x:c>
      <x:c r="B60" t="str">
        <x:v>V0053</x:v>
      </x:c>
      <x:c r="C60" t="str">
        <x:v>C020</x:v>
      </x:c>
      <x:c r="D60" t="str">
        <x:v>Empresa Norte SRL</x:v>
      </x:c>
      <x:c r="E60" t="str">
        <x:v>Mayorista</x:v>
      </x:c>
      <x:c r="F60" t="str">
        <x:v>CABA</x:v>
      </x:c>
      <x:c r="G60" t="str">
        <x:v>Cinta adhesiva transparente</x:v>
      </x:c>
      <x:c r="H60" t="str">
        <x:v>Oficina</x:v>
      </x:c>
      <x:c r="I60" s="14" t="n">
        <x:v>8</x:v>
      </x:c>
      <x:c r="J60" s="16" t="n">
        <x:v>1300</x:v>
      </x:c>
      <x:c r="K60" s="18" t="n">
        <x:v>0.1</x:v>
      </x:c>
      <x:c r="L60" s="16" t="n">
        <x:v>10389.6</x:v>
      </x:c>
      <x:c r="M60" t="str">
        <x:v>Mostrador</x:v>
      </x:c>
      <x:c r="N60" t="str">
        <x:v>Tarjeta débito</x:v>
      </x:c>
    </x:row>
    <x:row r="61">
      <x:c r="A61" s="12" t="str">
        <x:v>2026-01-15</x:v>
      </x:c>
      <x:c r="B61" t="str">
        <x:v>V0062</x:v>
      </x:c>
      <x:c r="C61" t="str">
        <x:v>C008</x:v>
      </x:c>
      <x:c r="D61" t="str">
        <x:v>Tomás Herrera</x:v>
      </x:c>
      <x:c r="E61" t="str">
        <x:v>Recurrente</x:v>
      </x:c>
      <x:c r="F61" t="str">
        <x:v>Córdoba</x:v>
      </x:c>
      <x:c r="G61" t="str">
        <x:v>Resma A4 75g</x:v>
      </x:c>
      <x:c r="H61" t="str">
        <x:v>Papelería</x:v>
      </x:c>
      <x:c r="I61" s="14" t="n">
        <x:v>1</x:v>
      </x:c>
      <x:c r="J61" s="16" t="n">
        <x:v>7200</x:v>
      </x:c>
      <x:c r="K61" s="18" t="n">
        <x:v>0</x:v>
      </x:c>
      <x:c r="L61" s="16" t="n">
        <x:v>7200</x:v>
      </x:c>
      <x:c r="M61" t="str">
        <x:v>Instagram</x:v>
      </x:c>
      <x:c r="N61" t="str">
        <x:v>Transferencia</x:v>
      </x:c>
    </x:row>
    <x:row r="62">
      <x:c r="A62" s="12" t="str">
        <x:v>2026-01-16</x:v>
      </x:c>
      <x:c r="B62" t="str">
        <x:v>V0013</x:v>
      </x:c>
      <x:c r="C62" t="str">
        <x:v>C004</x:v>
      </x:c>
      <x:c r="D62" t="str">
        <x:v>Diego Fernández</x:v>
      </x:c>
      <x:c r="E62" t="str">
        <x:v>Recurrente</x:v>
      </x:c>
      <x:c r="F62" t="str">
        <x:v>Rosario</x:v>
      </x:c>
      <x:c r="G62" t="str">
        <x:v>Lapicera negra</x:v>
      </x:c>
      <x:c r="H62" t="str">
        <x:v>Escritura</x:v>
      </x:c>
      <x:c r="I62" s="14" t="n">
        <x:v>5</x:v>
      </x:c>
      <x:c r="J62" s="16" t="n">
        <x:v>650</x:v>
      </x:c>
      <x:c r="K62" s="18" t="n">
        <x:v>0</x:v>
      </x:c>
      <x:c r="L62" s="16" t="n">
        <x:v>3250</x:v>
      </x:c>
      <x:c r="M62" t="str">
        <x:v>Mostrador</x:v>
      </x:c>
      <x:c r="N62" t="str">
        <x:v>Tarjeta débito</x:v>
      </x:c>
    </x:row>
    <x:row r="63">
      <x:c r="A63" s="12" t="str">
        <x:v>2026-01-16</x:v>
      </x:c>
      <x:c r="B63" t="str">
        <x:v>V0016</x:v>
      </x:c>
      <x:c r="C63" t="str">
        <x:v>C013</x:v>
      </x:c>
      <x:c r="D63" t="str">
        <x:v>Agustina Vega</x:v>
      </x:c>
      <x:c r="E63" t="str">
        <x:v>Nuevo</x:v>
      </x:c>
      <x:c r="F63" t="str">
        <x:v>Córdoba</x:v>
      </x:c>
      <x:c r="G63" t="str">
        <x:v>Cartulina color</x:v>
      </x:c>
      <x:c r="H63" t="str">
        <x:v>Papelería</x:v>
      </x:c>
      <x:c r="I63" s="14" t="n">
        <x:v>6</x:v>
      </x:c>
      <x:c r="J63" s="16" t="n">
        <x:v>850</x:v>
      </x:c>
      <x:c r="K63" s="18" t="n">
        <x:v>0</x:v>
      </x:c>
      <x:c r="L63" s="16" t="n">
        <x:v>5100</x:v>
      </x:c>
      <x:c r="M63" t="str">
        <x:v>Instagram</x:v>
      </x:c>
      <x:c r="N63" t="str">
        <x:v>Efectivo</x:v>
      </x:c>
    </x:row>
    <x:row r="64">
      <x:c r="A64" s="12" t="str">
        <x:v>2026-01-16</x:v>
      </x:c>
      <x:c r="B64" t="str">
        <x:v>V0041</x:v>
      </x:c>
      <x:c r="C64" t="str">
        <x:v>C015</x:v>
      </x:c>
      <x:c r="D64" t="str">
        <x:v>Brenda Luna</x:v>
      </x:c>
      <x:c r="E64" t="str">
        <x:v>Nuevo</x:v>
      </x:c>
      <x:c r="F64" t="str">
        <x:v>CABA</x:v>
      </x:c>
      <x:c r="G64" t="str">
        <x:v>Cuaderno universitario rayado</x:v>
      </x:c>
      <x:c r="H64" t="str">
        <x:v>Cuadernos</x:v>
      </x:c>
      <x:c r="I64" s="14" t="n">
        <x:v>1</x:v>
      </x:c>
      <x:c r="J64" s="16" t="n">
        <x:v>3800</x:v>
      </x:c>
      <x:c r="K64" s="18" t="n">
        <x:v>0.05</x:v>
      </x:c>
      <x:c r="L64" s="16" t="n">
        <x:v>3798.1</x:v>
      </x:c>
      <x:c r="M64" t="str">
        <x:v>WhatsApp</x:v>
      </x:c>
      <x:c r="N64" t="str">
        <x:v>Efectivo</x:v>
      </x:c>
    </x:row>
    <x:row r="65">
      <x:c r="A65" s="12" t="str">
        <x:v>2026-01-16</x:v>
      </x:c>
      <x:c r="B65" t="str">
        <x:v>V0070</x:v>
      </x:c>
      <x:c r="C65" t="str">
        <x:v>C002</x:v>
      </x:c>
      <x:c r="D65" t="str">
        <x:v>Martín Gómez</x:v>
      </x:c>
      <x:c r="E65" t="str">
        <x:v>Nuevo</x:v>
      </x:c>
      <x:c r="F65" t="str">
        <x:v>CABA</x:v>
      </x:c>
      <x:c r="G65" t="str">
        <x:v>Resaltador amarillo</x:v>
      </x:c>
      <x:c r="H65" t="str">
        <x:v>Escritura</x:v>
      </x:c>
      <x:c r="I65" s="14" t="n">
        <x:v>1</x:v>
      </x:c>
      <x:c r="J65" s="16" t="n">
        <x:v>1200</x:v>
      </x:c>
      <x:c r="K65" s="18" t="n">
        <x:v>0</x:v>
      </x:c>
      <x:c r="L65" s="16" t="n">
        <x:v>1200</x:v>
      </x:c>
      <x:c r="M65" t="str">
        <x:v>Mercado Libre</x:v>
      </x:c>
      <x:c r="N65" t="str">
        <x:v>Tarjeta débito</x:v>
      </x:c>
    </x:row>
    <x:row r="66">
      <x:c r="A66" s="12" t="str">
        <x:v>2026-01-16</x:v>
      </x:c>
      <x:c r="B66" t="str">
        <x:v>V0094</x:v>
      </x:c>
      <x:c r="C66" t="str">
        <x:v>C014</x:v>
      </x:c>
      <x:c r="D66" t="str">
        <x:v>Lucas Peralta</x:v>
      </x:c>
      <x:c r="E66" t="str">
        <x:v>Recurrente</x:v>
      </x:c>
      <x:c r="F66" t="str">
        <x:v>La Plata</x:v>
      </x:c>
      <x:c r="G66" t="str">
        <x:v>Resma A4 75g</x:v>
      </x:c>
      <x:c r="H66" t="str">
        <x:v>Papelería</x:v>
      </x:c>
      <x:c r="I66" s="14" t="n">
        <x:v>1</x:v>
      </x:c>
      <x:c r="J66" s="16" t="n">
        <x:v>7200</x:v>
      </x:c>
      <x:c r="K66" s="18" t="n">
        <x:v>0.1</x:v>
      </x:c>
      <x:c r="L66" s="16" t="n">
        <x:v>7192.8</x:v>
      </x:c>
      <x:c r="M66" t="str">
        <x:v>Mostrador</x:v>
      </x:c>
      <x:c r="N66" t="str">
        <x:v>Efectivo</x:v>
      </x:c>
    </x:row>
    <x:row r="67">
      <x:c r="A67" s="12" t="str">
        <x:v>2026-01-17</x:v>
      </x:c>
      <x:c r="B67" t="str">
        <x:v>V0110</x:v>
      </x:c>
      <x:c r="C67" t="str">
        <x:v>C008</x:v>
      </x:c>
      <x:c r="D67" t="str">
        <x:v>Tomás Herrera</x:v>
      </x:c>
      <x:c r="E67" t="str">
        <x:v>Recurrente</x:v>
      </x:c>
      <x:c r="F67" t="str">
        <x:v>Córdoba</x:v>
      </x:c>
      <x:c r="G67" t="str">
        <x:v>Lapicera roja</x:v>
      </x:c>
      <x:c r="H67" t="str">
        <x:v>Escritura</x:v>
      </x:c>
      <x:c r="I67" s="14" t="n">
        <x:v>2</x:v>
      </x:c>
      <x:c r="J67" s="16" t="n">
        <x:v>650</x:v>
      </x:c>
      <x:c r="K67" s="18" t="n">
        <x:v>0</x:v>
      </x:c>
      <x:c r="L67" s="16" t="n">
        <x:v>1300</x:v>
      </x:c>
      <x:c r="M67" t="str">
        <x:v>WhatsApp</x:v>
      </x:c>
      <x:c r="N67" t="str">
        <x:v>Tarjeta débito</x:v>
      </x:c>
    </x:row>
    <x:row r="68">
      <x:c r="A68" s="12" t="str">
        <x:v>2026-01-17</x:v>
      </x:c>
      <x:c r="B68" t="str">
        <x:v>V0114</x:v>
      </x:c>
      <x:c r="C68" t="str">
        <x:v>C011</x:v>
      </x:c>
      <x:c r="D68" t="str">
        <x:v>Florencia Acosta</x:v>
      </x:c>
      <x:c r="E68" t="str">
        <x:v>Recurrente</x:v>
      </x:c>
      <x:c r="F68" t="str">
        <x:v>Mar del Plata</x:v>
      </x:c>
      <x:c r="G68" t="str">
        <x:v>Cuaderno universitario cuadriculado</x:v>
      </x:c>
      <x:c r="H68" t="str">
        <x:v>Cuadernos</x:v>
      </x:c>
      <x:c r="I68" s="14" t="n">
        <x:v>2</x:v>
      </x:c>
      <x:c r="J68" s="16" t="n">
        <x:v>3900</x:v>
      </x:c>
      <x:c r="K68" s="18" t="n">
        <x:v>0</x:v>
      </x:c>
      <x:c r="L68" s="16" t="n">
        <x:v>7800</x:v>
      </x:c>
      <x:c r="M68" t="str">
        <x:v>Instagram</x:v>
      </x:c>
      <x:c r="N68" t="str">
        <x:v>Efectivo</x:v>
      </x:c>
    </x:row>
    <x:row r="69">
      <x:c r="A69" s="12" t="str">
        <x:v>2026-01-18</x:v>
      </x:c>
      <x:c r="B69" t="str">
        <x:v>V0059</x:v>
      </x:c>
      <x:c r="C69" t="str">
        <x:v>C003</x:v>
      </x:c>
      <x:c r="D69" t="str">
        <x:v>Sofía Torres</x:v>
      </x:c>
      <x:c r="E69" t="str">
        <x:v>Recurrente</x:v>
      </x:c>
      <x:c r="F69" t="str">
        <x:v>Córdoba</x:v>
      </x:c>
      <x:c r="G69" t="str">
        <x:v>Pegamento en barra</x:v>
      </x:c>
      <x:c r="H69" t="str">
        <x:v>Escolar</x:v>
      </x:c>
      <x:c r="I69" s="14" t="n">
        <x:v>1</x:v>
      </x:c>
      <x:c r="J69" s="16" t="n">
        <x:v>1000</x:v>
      </x:c>
      <x:c r="K69" s="18" t="n">
        <x:v>0</x:v>
      </x:c>
      <x:c r="L69" s="16" t="n">
        <x:v>1000</x:v>
      </x:c>
      <x:c r="M69" t="str">
        <x:v>Mercado Libre</x:v>
      </x:c>
      <x:c r="N69" t="str">
        <x:v>Efectivo</x:v>
      </x:c>
    </x:row>
    <x:row r="70">
      <x:c r="A70" s="12" t="str">
        <x:v>2026-01-18</x:v>
      </x:c>
      <x:c r="B70" t="str">
        <x:v>V0090</x:v>
      </x:c>
      <x:c r="C70" t="str">
        <x:v>C016</x:v>
      </x:c>
      <x:c r="D70" t="str">
        <x:v>Federico Arias</x:v>
      </x:c>
      <x:c r="E70" t="str">
        <x:v>Recurrente</x:v>
      </x:c>
      <x:c r="F70" t="str">
        <x:v>Rosario</x:v>
      </x:c>
      <x:c r="G70" t="str">
        <x:v>Lápiz negro HB</x:v>
      </x:c>
      <x:c r="H70" t="str">
        <x:v>Escritura</x:v>
      </x:c>
      <x:c r="I70" s="14" t="n">
        <x:v>3</x:v>
      </x:c>
      <x:c r="J70" s="16" t="n">
        <x:v>450</x:v>
      </x:c>
      <x:c r="K70" s="18" t="n">
        <x:v>0</x:v>
      </x:c>
      <x:c r="L70" s="16" t="n">
        <x:v>1350</x:v>
      </x:c>
      <x:c r="M70" t="str">
        <x:v>Mostrador</x:v>
      </x:c>
      <x:c r="N70" t="str">
        <x:v>Tarjeta crédito</x:v>
      </x:c>
    </x:row>
    <x:row r="71">
      <x:c r="A71" s="12" t="str">
        <x:v>2026-01-19</x:v>
      </x:c>
      <x:c r="B71" t="str">
        <x:v>V0003</x:v>
      </x:c>
      <x:c r="C71" t="str">
        <x:v>C005</x:v>
      </x:c>
      <x:c r="D71" t="str">
        <x:v>Camila Ruiz</x:v>
      </x:c>
      <x:c r="E71" t="str">
        <x:v>Nuevo</x:v>
      </x:c>
      <x:c r="F71" t="str">
        <x:v>La Plata</x:v>
      </x:c>
      <x:c r="G71" t="str">
        <x:v>Resma A4 75g</x:v>
      </x:c>
      <x:c r="H71" t="str">
        <x:v>Papelería</x:v>
      </x:c>
      <x:c r="I71" s="14" t="n">
        <x:v>2</x:v>
      </x:c>
      <x:c r="J71" s="16" t="n">
        <x:v>7200</x:v>
      </x:c>
      <x:c r="K71" s="18" t="n">
        <x:v>0</x:v>
      </x:c>
      <x:c r="L71" s="16" t="n">
        <x:v>14400</x:v>
      </x:c>
      <x:c r="M71" t="str">
        <x:v>Instagram</x:v>
      </x:c>
      <x:c r="N71" t="str">
        <x:v>Tarjeta débito</x:v>
      </x:c>
    </x:row>
    <x:row r="72">
      <x:c r="A72" s="12" t="str">
        <x:v>2026-01-19</x:v>
      </x:c>
      <x:c r="B72" t="str">
        <x:v>V0024</x:v>
      </x:c>
      <x:c r="C72" t="str">
        <x:v>C019</x:v>
      </x:c>
      <x:c r="D72" t="str">
        <x:v>Rocío Navarro</x:v>
      </x:c>
      <x:c r="E72" t="str">
        <x:v>Recurrente</x:v>
      </x:c>
      <x:c r="F72" t="str">
        <x:v>Córdoba</x:v>
      </x:c>
      <x:c r="G72" t="str">
        <x:v>Resma A4 75g</x:v>
      </x:c>
      <x:c r="H72" t="str">
        <x:v>Papelería</x:v>
      </x:c>
      <x:c r="I72" s="14" t="n">
        <x:v>1</x:v>
      </x:c>
      <x:c r="J72" s="16" t="n">
        <x:v>7200</x:v>
      </x:c>
      <x:c r="K72" s="18" t="n">
        <x:v>0</x:v>
      </x:c>
      <x:c r="L72" s="16" t="n">
        <x:v>7200</x:v>
      </x:c>
      <x:c r="M72" t="str">
        <x:v>Instagram</x:v>
      </x:c>
      <x:c r="N72" t="str">
        <x:v>Transferencia</x:v>
      </x:c>
    </x:row>
    <x:row r="73">
      <x:c r="A73" s="12" t="str">
        <x:v>2026-01-19</x:v>
      </x:c>
      <x:c r="B73" t="str">
        <x:v>V0048</x:v>
      </x:c>
      <x:c r="C73" t="str">
        <x:v>C001</x:v>
      </x:c>
      <x:c r="D73" t="str">
        <x:v>Laura Pérez</x:v>
      </x:c>
      <x:c r="E73" t="str">
        <x:v>Recurrente</x:v>
      </x:c>
      <x:c r="F73" t="str">
        <x:v>CABA</x:v>
      </x:c>
      <x:c r="G73" t="str">
        <x:v>Lapicera azul</x:v>
      </x:c>
      <x:c r="H73" t="str">
        <x:v>Escritura</x:v>
      </x:c>
      <x:c r="I73" s="14" t="n">
        <x:v>5</x:v>
      </x:c>
      <x:c r="J73" s="16" t="n">
        <x:v>650</x:v>
      </x:c>
      <x:c r="K73" s="18" t="n">
        <x:v>0</x:v>
      </x:c>
      <x:c r="L73" s="16" t="n">
        <x:v>3250</x:v>
      </x:c>
      <x:c r="M73" t="str">
        <x:v>Instagram</x:v>
      </x:c>
      <x:c r="N73" t="str">
        <x:v>Tarjeta crédito</x:v>
      </x:c>
    </x:row>
    <x:row r="74">
      <x:c r="A74" s="12" t="str">
        <x:v>2026-01-19</x:v>
      </x:c>
      <x:c r="B74" t="str">
        <x:v>V0071</x:v>
      </x:c>
      <x:c r="C74" t="str">
        <x:v>C015</x:v>
      </x:c>
      <x:c r="D74" t="str">
        <x:v>Brenda Luna</x:v>
      </x:c>
      <x:c r="E74" t="str">
        <x:v>Nuevo</x:v>
      </x:c>
      <x:c r="F74" t="str">
        <x:v>CABA</x:v>
      </x:c>
      <x:c r="G74" t="str">
        <x:v>Cartulina color</x:v>
      </x:c>
      <x:c r="H74" t="str">
        <x:v>Papelería</x:v>
      </x:c>
      <x:c r="I74" s="14" t="n">
        <x:v>3</x:v>
      </x:c>
      <x:c r="J74" s="16" t="n">
        <x:v>850</x:v>
      </x:c>
      <x:c r="K74" s="18" t="n">
        <x:v>0</x:v>
      </x:c>
      <x:c r="L74" s="16" t="n">
        <x:v>2550</x:v>
      </x:c>
      <x:c r="M74" t="str">
        <x:v>Mercado Libre</x:v>
      </x:c>
      <x:c r="N74" t="str">
        <x:v>Transferencia</x:v>
      </x:c>
    </x:row>
    <x:row r="75">
      <x:c r="A75" s="12" t="str">
        <x:v>2026-01-19</x:v>
      </x:c>
      <x:c r="B75" t="str">
        <x:v>V0122</x:v>
      </x:c>
      <x:c r="C75" t="str">
        <x:v>C004</x:v>
      </x:c>
      <x:c r="D75" t="str">
        <x:v>Diego Fernández</x:v>
      </x:c>
      <x:c r="E75" t="str">
        <x:v>Recurrente</x:v>
      </x:c>
      <x:c r="F75" t="str">
        <x:v>Rosario</x:v>
      </x:c>
      <x:c r="G75" t="str">
        <x:v>Marcador permanente negro</x:v>
      </x:c>
      <x:c r="H75" t="str">
        <x:v>Escritura</x:v>
      </x:c>
      <x:c r="I75" s="14" t="n">
        <x:v>2</x:v>
      </x:c>
      <x:c r="J75" s="16" t="n">
        <x:v>1800</x:v>
      </x:c>
      <x:c r="K75" s="18" t="n">
        <x:v>0</x:v>
      </x:c>
      <x:c r="L75" s="16" t="n">
        <x:v>3600</x:v>
      </x:c>
      <x:c r="M75" t="str">
        <x:v>Web</x:v>
      </x:c>
      <x:c r="N75" t="str">
        <x:v>Tarjeta débito</x:v>
      </x:c>
    </x:row>
    <x:row r="76">
      <x:c r="A76" s="12" t="str">
        <x:v>2026-01-20</x:v>
      </x:c>
      <x:c r="B76" t="str">
        <x:v>V0012</x:v>
      </x:c>
      <x:c r="C76" t="str">
        <x:v>C021</x:v>
      </x:c>
      <x:c r="D76" t="str">
        <x:v>Colegio San Martín</x:v>
      </x:c>
      <x:c r="E76" t="str">
        <x:v>Mayorista</x:v>
      </x:c>
      <x:c r="F76" t="str">
        <x:v>La Plata</x:v>
      </x:c>
      <x:c r="G76" t="str">
        <x:v>Goma de borrar blanca</x:v>
      </x:c>
      <x:c r="H76" t="str">
        <x:v>Escolar</x:v>
      </x:c>
      <x:c r="I76" s="14" t="n">
        <x:v>20</x:v>
      </x:c>
      <x:c r="J76" s="16" t="n">
        <x:v>500</x:v>
      </x:c>
      <x:c r="K76" s="18" t="n">
        <x:v>0.12</x:v>
      </x:c>
      <x:c r="L76" s="16" t="n">
        <x:v>9988</x:v>
      </x:c>
      <x:c r="M76" t="str">
        <x:v>WhatsApp</x:v>
      </x:c>
      <x:c r="N76" t="str">
        <x:v>Tarjeta crédito</x:v>
      </x:c>
    </x:row>
    <x:row r="77">
      <x:c r="A77" s="12" t="str">
        <x:v>2026-01-20</x:v>
      </x:c>
      <x:c r="B77" t="str">
        <x:v>V0028</x:v>
      </x:c>
      <x:c r="C77" t="str">
        <x:v>C014</x:v>
      </x:c>
      <x:c r="D77" t="str">
        <x:v>Lucas Peralta</x:v>
      </x:c>
      <x:c r="E77" t="str">
        <x:v>Recurrente</x:v>
      </x:c>
      <x:c r="F77" t="str">
        <x:v>La Plata</x:v>
      </x:c>
      <x:c r="G77" t="str">
        <x:v>Resaltador amarillo</x:v>
      </x:c>
      <x:c r="H77" t="str">
        <x:v>Escritura</x:v>
      </x:c>
      <x:c r="I77" s="14" t="n">
        <x:v>2</x:v>
      </x:c>
      <x:c r="J77" s="16" t="n">
        <x:v>1200</x:v>
      </x:c>
      <x:c r="K77" s="18" t="n">
        <x:v>0</x:v>
      </x:c>
      <x:c r="L77" s="16" t="n">
        <x:v>2400</x:v>
      </x:c>
      <x:c r="M77" t="str">
        <x:v>Mostrador</x:v>
      </x:c>
      <x:c r="N77" t="str">
        <x:v>Efectivo</x:v>
      </x:c>
    </x:row>
    <x:row r="78">
      <x:c r="A78" s="12" t="str">
        <x:v>2026-01-20</x:v>
      </x:c>
      <x:c r="B78" t="str">
        <x:v>V0039</x:v>
      </x:c>
      <x:c r="C78" t="str">
        <x:v>C014</x:v>
      </x:c>
      <x:c r="D78" t="str">
        <x:v>Lucas Peralta</x:v>
      </x:c>
      <x:c r="E78" t="str">
        <x:v>Recurrente</x:v>
      </x:c>
      <x:c r="F78" t="str">
        <x:v>La Plata</x:v>
      </x:c>
      <x:c r="G78" t="str">
        <x:v>Goma de borrar blanca</x:v>
      </x:c>
      <x:c r="H78" t="str">
        <x:v>Escolar</x:v>
      </x:c>
      <x:c r="I78" s="14" t="n">
        <x:v>2</x:v>
      </x:c>
      <x:c r="J78" s="16" t="n">
        <x:v>500</x:v>
      </x:c>
      <x:c r="K78" s="18" t="n">
        <x:v>0</x:v>
      </x:c>
      <x:c r="L78" s="16" t="n">
        <x:v>1000</x:v>
      </x:c>
      <x:c r="M78" t="str">
        <x:v>Mercado Libre</x:v>
      </x:c>
      <x:c r="N78" t="str">
        <x:v>Efectivo</x:v>
      </x:c>
    </x:row>
    <x:row r="79">
      <x:c r="A79" s="12" t="str">
        <x:v>2026-01-20</x:v>
      </x:c>
      <x:c r="B79" t="str">
        <x:v>V0049</x:v>
      </x:c>
      <x:c r="C79" t="str">
        <x:v>C014</x:v>
      </x:c>
      <x:c r="D79" t="str">
        <x:v>Lucas Peralta</x:v>
      </x:c>
      <x:c r="E79" t="str">
        <x:v>Recurrente</x:v>
      </x:c>
      <x:c r="F79" t="str">
        <x:v>La Plata</x:v>
      </x:c>
      <x:c r="G79" t="str">
        <x:v>Compás escolar</x:v>
      </x:c>
      <x:c r="H79" t="str">
        <x:v>Escolar</x:v>
      </x:c>
      <x:c r="I79" s="14" t="n">
        <x:v>1</x:v>
      </x:c>
      <x:c r="J79" s="16" t="n">
        <x:v>3200</x:v>
      </x:c>
      <x:c r="K79" s="18" t="n">
        <x:v>0</x:v>
      </x:c>
      <x:c r="L79" s="16" t="n">
        <x:v>3200</x:v>
      </x:c>
      <x:c r="M79" t="str">
        <x:v>Web</x:v>
      </x:c>
      <x:c r="N79" t="str">
        <x:v>Tarjeta débito</x:v>
      </x:c>
    </x:row>
    <x:row r="80">
      <x:c r="A80" s="12" t="str">
        <x:v>2026-01-20</x:v>
      </x:c>
      <x:c r="B80" t="str">
        <x:v>V0077</x:v>
      </x:c>
      <x:c r="C80" t="str">
        <x:v>C009</x:v>
      </x:c>
      <x:c r="D80" t="str">
        <x:v>Julieta Castro</x:v>
      </x:c>
      <x:c r="E80" t="str">
        <x:v>Recurrente</x:v>
      </x:c>
      <x:c r="F80" t="str">
        <x:v>CABA</x:v>
      </x:c>
      <x:c r="G80" t="str">
        <x:v>Lápiz negro HB</x:v>
      </x:c>
      <x:c r="H80" t="str">
        <x:v>Escritura</x:v>
      </x:c>
      <x:c r="I80" s="14" t="n">
        <x:v>2</x:v>
      </x:c>
      <x:c r="J80" s="16" t="n">
        <x:v>450</x:v>
      </x:c>
      <x:c r="K80" s="18" t="n">
        <x:v>0</x:v>
      </x:c>
      <x:c r="L80" s="16" t="n">
        <x:v>900</x:v>
      </x:c>
      <x:c r="M80" t="str">
        <x:v>WhatsApp</x:v>
      </x:c>
      <x:c r="N80" t="str">
        <x:v>Tarjeta crédito</x:v>
      </x:c>
    </x:row>
    <x:row r="81">
      <x:c r="A81" s="12" t="str">
        <x:v>2026-01-20</x:v>
      </x:c>
      <x:c r="B81" t="str">
        <x:v>V0087</x:v>
      </x:c>
      <x:c r="C81" t="str">
        <x:v>C001</x:v>
      </x:c>
      <x:c r="D81" t="str">
        <x:v>Laura Pérez</x:v>
      </x:c>
      <x:c r="E81" t="str">
        <x:v>Recurrente</x:v>
      </x:c>
      <x:c r="F81" t="str">
        <x:v>CABA</x:v>
      </x:c>
      <x:c r="G81" t="str">
        <x:v>Goma de borrar blanca</x:v>
      </x:c>
      <x:c r="H81" t="str">
        <x:v>Escolar</x:v>
      </x:c>
      <x:c r="I81" s="14" t="n">
        <x:v>2</x:v>
      </x:c>
      <x:c r="J81" s="16" t="n">
        <x:v>500</x:v>
      </x:c>
      <x:c r="K81" s="18" t="n">
        <x:v>0</x:v>
      </x:c>
      <x:c r="L81" s="16" t="n">
        <x:v>1000</x:v>
      </x:c>
      <x:c r="M81" t="str">
        <x:v>Mercado Libre</x:v>
      </x:c>
      <x:c r="N81" t="str">
        <x:v>Efectivo</x:v>
      </x:c>
    </x:row>
    <x:row r="82">
      <x:c r="A82" s="12" t="str">
        <x:v>2026-01-20</x:v>
      </x:c>
      <x:c r="B82" t="str">
        <x:v>V0101</x:v>
      </x:c>
      <x:c r="C82" t="str">
        <x:v>C022</x:v>
      </x:c>
      <x:c r="D82" t="str">
        <x:v>Estudio Contable López</x:v>
      </x:c>
      <x:c r="E82" t="str">
        <x:v>Mayorista</x:v>
      </x:c>
      <x:c r="F82" t="str">
        <x:v>Rosario</x:v>
      </x:c>
      <x:c r="G82" t="str">
        <x:v>Cuaderno tapa dura A4</x:v>
      </x:c>
      <x:c r="H82" t="str">
        <x:v>Cuadernos</x:v>
      </x:c>
      <x:c r="I82" s="14" t="n">
        <x:v>10</x:v>
      </x:c>
      <x:c r="J82" s="16" t="n">
        <x:v>5200</x:v>
      </x:c>
      <x:c r="K82" s="18" t="n">
        <x:v>0.05</x:v>
      </x:c>
      <x:c r="L82" s="16" t="n">
        <x:v>51974</x:v>
      </x:c>
      <x:c r="M82" t="str">
        <x:v>Mercado Libre</x:v>
      </x:c>
      <x:c r="N82" t="str">
        <x:v>Transferencia</x:v>
      </x:c>
    </x:row>
    <x:row r="83">
      <x:c r="A83" s="12" t="str">
        <x:v>2026-01-20</x:v>
      </x:c>
      <x:c r="B83" t="str">
        <x:v>V0108</x:v>
      </x:c>
      <x:c r="C83" t="str">
        <x:v>C015</x:v>
      </x:c>
      <x:c r="D83" t="str">
        <x:v>Brenda Luna</x:v>
      </x:c>
      <x:c r="E83" t="str">
        <x:v>Nuevo</x:v>
      </x:c>
      <x:c r="F83" t="str">
        <x:v>CABA</x:v>
      </x:c>
      <x:c r="G83" t="str">
        <x:v>Cuaderno universitario cuadriculado</x:v>
      </x:c>
      <x:c r="H83" t="str">
        <x:v>Cuadernos</x:v>
      </x:c>
      <x:c r="I83" s="14" t="n">
        <x:v>1</x:v>
      </x:c>
      <x:c r="J83" s="16" t="n">
        <x:v>3900</x:v>
      </x:c>
      <x:c r="K83" s="18" t="n">
        <x:v>0</x:v>
      </x:c>
      <x:c r="L83" s="16" t="n">
        <x:v>3900</x:v>
      </x:c>
      <x:c r="M83" t="str">
        <x:v>Mostrador</x:v>
      </x:c>
      <x:c r="N83" t="str">
        <x:v>Efectivo</x:v>
      </x:c>
    </x:row>
    <x:row r="84">
      <x:c r="A84" s="12" t="str">
        <x:v>2026-01-21</x:v>
      </x:c>
      <x:c r="B84" t="str">
        <x:v>V0066</x:v>
      </x:c>
      <x:c r="C84" t="str">
        <x:v>C009</x:v>
      </x:c>
      <x:c r="D84" t="str">
        <x:v>Julieta Castro</x:v>
      </x:c>
      <x:c r="E84" t="str">
        <x:v>Recurrente</x:v>
      </x:c>
      <x:c r="F84" t="str">
        <x:v>CABA</x:v>
      </x:c>
      <x:c r="G84" t="str">
        <x:v>Broches 24/6</x:v>
      </x:c>
      <x:c r="H84" t="str">
        <x:v>Oficina</x:v>
      </x:c>
      <x:c r="I84" s="14" t="n">
        <x:v>1</x:v>
      </x:c>
      <x:c r="J84" s="16" t="n">
        <x:v>1500</x:v>
      </x:c>
      <x:c r="K84" s="18" t="n">
        <x:v>0</x:v>
      </x:c>
      <x:c r="L84" s="16" t="n">
        <x:v>1500</x:v>
      </x:c>
      <x:c r="M84" t="str">
        <x:v>Mostrador</x:v>
      </x:c>
      <x:c r="N84" t="str">
        <x:v>Efectivo</x:v>
      </x:c>
    </x:row>
    <x:row r="85">
      <x:c r="A85" s="12" t="str">
        <x:v>2026-01-21</x:v>
      </x:c>
      <x:c r="B85" t="str">
        <x:v>V0086</x:v>
      </x:c>
      <x:c r="C85" t="str">
        <x:v>C015</x:v>
      </x:c>
      <x:c r="D85" t="str">
        <x:v>Brenda Luna</x:v>
      </x:c>
      <x:c r="E85" t="str">
        <x:v>Nuevo</x:v>
      </x:c>
      <x:c r="F85" t="str">
        <x:v>CABA</x:v>
      </x:c>
      <x:c r="G85" t="str">
        <x:v>Separadores escolares</x:v>
      </x:c>
      <x:c r="H85" t="str">
        <x:v>Organización</x:v>
      </x:c>
      <x:c r="I85" s="14" t="n">
        <x:v>1</x:v>
      </x:c>
      <x:c r="J85" s="16" t="n">
        <x:v>1600</x:v>
      </x:c>
      <x:c r="K85" s="18" t="n">
        <x:v>0</x:v>
      </x:c>
      <x:c r="L85" s="16" t="n">
        <x:v>1600</x:v>
      </x:c>
      <x:c r="M85" t="str">
        <x:v>Mostrador</x:v>
      </x:c>
      <x:c r="N85" t="str">
        <x:v>Transferencia</x:v>
      </x:c>
    </x:row>
    <x:row r="86">
      <x:c r="A86" s="12" t="str">
        <x:v>2026-01-22</x:v>
      </x:c>
      <x:c r="B86" t="str">
        <x:v>V0001</x:v>
      </x:c>
      <x:c r="C86" t="str">
        <x:v>C003</x:v>
      </x:c>
      <x:c r="D86" t="str">
        <x:v>Sofía Torres</x:v>
      </x:c>
      <x:c r="E86" t="str">
        <x:v>Recurrente</x:v>
      </x:c>
      <x:c r="F86" t="str">
        <x:v>Córdoba</x:v>
      </x:c>
      <x:c r="G86" t="str">
        <x:v>Separadores escolares</x:v>
      </x:c>
      <x:c r="H86" t="str">
        <x:v>Organización</x:v>
      </x:c>
      <x:c r="I86" s="14" t="n">
        <x:v>1</x:v>
      </x:c>
      <x:c r="J86" s="16" t="n">
        <x:v>1600</x:v>
      </x:c>
      <x:c r="K86" s="18" t="n">
        <x:v>0</x:v>
      </x:c>
      <x:c r="L86" s="16" t="n">
        <x:v>1600</x:v>
      </x:c>
      <x:c r="M86" t="str">
        <x:v>Mercado Libre</x:v>
      </x:c>
      <x:c r="N86" t="str">
        <x:v>Tarjeta débito</x:v>
      </x:c>
    </x:row>
    <x:row r="87">
      <x:c r="A87" s="12" t="str">
        <x:v>2026-01-22</x:v>
      </x:c>
      <x:c r="B87" t="str">
        <x:v>V0019</x:v>
      </x:c>
      <x:c r="C87" t="str">
        <x:v>C008</x:v>
      </x:c>
      <x:c r="D87" t="str">
        <x:v>Tomás Herrera</x:v>
      </x:c>
      <x:c r="E87" t="str">
        <x:v>Recurrente</x:v>
      </x:c>
      <x:c r="F87" t="str">
        <x:v>Córdoba</x:v>
      </x:c>
      <x:c r="G87" t="str">
        <x:v>Block de hojas A4 rayadas</x:v>
      </x:c>
      <x:c r="H87" t="str">
        <x:v>Papelería</x:v>
      </x:c>
      <x:c r="I87" s="14" t="n">
        <x:v>3</x:v>
      </x:c>
      <x:c r="J87" s="16" t="n">
        <x:v>3100</x:v>
      </x:c>
      <x:c r="K87" s="18" t="n">
        <x:v>0</x:v>
      </x:c>
      <x:c r="L87" s="16" t="n">
        <x:v>9300</x:v>
      </x:c>
      <x:c r="M87" t="str">
        <x:v>WhatsApp</x:v>
      </x:c>
      <x:c r="N87" t="str">
        <x:v>Efectivo</x:v>
      </x:c>
    </x:row>
    <x:row r="88">
      <x:c r="A88" s="12" t="str">
        <x:v>2026-01-22</x:v>
      </x:c>
      <x:c r="B88" t="str">
        <x:v>V0084</x:v>
      </x:c>
      <x:c r="C88" t="str">
        <x:v>C001</x:v>
      </x:c>
      <x:c r="D88" t="str">
        <x:v>Laura Pérez</x:v>
      </x:c>
      <x:c r="E88" t="str">
        <x:v>Recurrente</x:v>
      </x:c>
      <x:c r="F88" t="str">
        <x:v>CABA</x:v>
      </x:c>
      <x:c r="G88" t="str">
        <x:v>Lápiz negro HB</x:v>
      </x:c>
      <x:c r="H88" t="str">
        <x:v>Escritura</x:v>
      </x:c>
      <x:c r="I88" s="14" t="n">
        <x:v>2</x:v>
      </x:c>
      <x:c r="J88" s="16" t="n">
        <x:v>450</x:v>
      </x:c>
      <x:c r="K88" s="18" t="n">
        <x:v>0</x:v>
      </x:c>
      <x:c r="L88" s="16" t="n">
        <x:v>900</x:v>
      </x:c>
      <x:c r="M88" t="str">
        <x:v>Mostrador</x:v>
      </x:c>
      <x:c r="N88" t="str">
        <x:v>Efectivo</x:v>
      </x:c>
    </x:row>
    <x:row r="89">
      <x:c r="A89" s="12" t="str">
        <x:v>2026-01-22</x:v>
      </x:c>
      <x:c r="B89" t="str">
        <x:v>V0091</x:v>
      </x:c>
      <x:c r="C89" t="str">
        <x:v>C021</x:v>
      </x:c>
      <x:c r="D89" t="str">
        <x:v>Colegio San Martín</x:v>
      </x:c>
      <x:c r="E89" t="str">
        <x:v>Mayorista</x:v>
      </x:c>
      <x:c r="F89" t="str">
        <x:v>La Plata</x:v>
      </x:c>
      <x:c r="G89" t="str">
        <x:v>Compás escolar</x:v>
      </x:c>
      <x:c r="H89" t="str">
        <x:v>Escolar</x:v>
      </x:c>
      <x:c r="I89" s="14" t="n">
        <x:v>8</x:v>
      </x:c>
      <x:c r="J89" s="16" t="n">
        <x:v>3200</x:v>
      </x:c>
      <x:c r="K89" s="18" t="n">
        <x:v>0.12</x:v>
      </x:c>
      <x:c r="L89" s="16" t="n">
        <x:v>25569.28</x:v>
      </x:c>
      <x:c r="M89" t="str">
        <x:v>Mostrador</x:v>
      </x:c>
      <x:c r="N89" t="str">
        <x:v>Transferencia</x:v>
      </x:c>
    </x:row>
    <x:row r="90">
      <x:c r="A90" s="12" t="str">
        <x:v>2026-01-22</x:v>
      </x:c>
      <x:c r="B90" t="str">
        <x:v>V0092</x:v>
      </x:c>
      <x:c r="C90" t="str">
        <x:v>C007</x:v>
      </x:c>
      <x:c r="D90" t="str">
        <x:v>Valentina Silva</x:v>
      </x:c>
      <x:c r="E90" t="str">
        <x:v>Nuevo</x:v>
      </x:c>
      <x:c r="F90" t="str">
        <x:v>Mendoza</x:v>
      </x:c>
      <x:c r="G90" t="str">
        <x:v>Abrochadora mediana</x:v>
      </x:c>
      <x:c r="H90" t="str">
        <x:v>Oficina</x:v>
      </x:c>
      <x:c r="I90" s="14" t="n">
        <x:v>2</x:v>
      </x:c>
      <x:c r="J90" s="16" t="n">
        <x:v>5900</x:v>
      </x:c>
      <x:c r="K90" s="18" t="n">
        <x:v>0</x:v>
      </x:c>
      <x:c r="L90" s="16" t="n">
        <x:v>11800</x:v>
      </x:c>
      <x:c r="M90" t="str">
        <x:v>Mercado Libre</x:v>
      </x:c>
      <x:c r="N90" t="str">
        <x:v>Tarjeta débito</x:v>
      </x:c>
    </x:row>
    <x:row r="91">
      <x:c r="A91" s="12" t="str">
        <x:v>2026-01-23</x:v>
      </x:c>
      <x:c r="B91" t="str">
        <x:v>V0023</x:v>
      </x:c>
      <x:c r="C91" t="str">
        <x:v>C012</x:v>
      </x:c>
      <x:c r="D91" t="str">
        <x:v>Mateo Benítez</x:v>
      </x:c>
      <x:c r="E91" t="str">
        <x:v>Recurrente</x:v>
      </x:c>
      <x:c r="F91" t="str">
        <x:v>CABA</x:v>
      </x:c>
      <x:c r="G91" t="str">
        <x:v>Cuaderno universitario rayado</x:v>
      </x:c>
      <x:c r="H91" t="str">
        <x:v>Cuadernos</x:v>
      </x:c>
      <x:c r="I91" s="14" t="n">
        <x:v>2</x:v>
      </x:c>
      <x:c r="J91" s="16" t="n">
        <x:v>3800</x:v>
      </x:c>
      <x:c r="K91" s="18" t="n">
        <x:v>0</x:v>
      </x:c>
      <x:c r="L91" s="16" t="n">
        <x:v>7600</x:v>
      </x:c>
      <x:c r="M91" t="str">
        <x:v>Instagram</x:v>
      </x:c>
      <x:c r="N91" t="str">
        <x:v>Tarjeta crédito</x:v>
      </x:c>
    </x:row>
    <x:row r="92">
      <x:c r="A92" s="12" t="str">
        <x:v>2026-01-23</x:v>
      </x:c>
      <x:c r="B92" t="str">
        <x:v>V0081</x:v>
      </x:c>
      <x:c r="C92" t="str">
        <x:v>C001</x:v>
      </x:c>
      <x:c r="D92" t="str">
        <x:v>Laura Pérez</x:v>
      </x:c>
      <x:c r="E92" t="str">
        <x:v>Recurrente</x:v>
      </x:c>
      <x:c r="F92" t="str">
        <x:v>CABA</x:v>
      </x:c>
      <x:c r="G92" t="str">
        <x:v>Block de hojas A4 rayadas</x:v>
      </x:c>
      <x:c r="H92" t="str">
        <x:v>Papelería</x:v>
      </x:c>
      <x:c r="I92" s="14" t="n">
        <x:v>1</x:v>
      </x:c>
      <x:c r="J92" s="16" t="n">
        <x:v>3100</x:v>
      </x:c>
      <x:c r="K92" s="18" t="n">
        <x:v>0</x:v>
      </x:c>
      <x:c r="L92" s="16" t="n">
        <x:v>3100</x:v>
      </x:c>
      <x:c r="M92" t="str">
        <x:v>Mostrador</x:v>
      </x:c>
      <x:c r="N92" t="str">
        <x:v>Transferencia</x:v>
      </x:c>
    </x:row>
    <x:row r="93">
      <x:c r="A93" s="12" t="str">
        <x:v>2026-01-23</x:v>
      </x:c>
      <x:c r="B93" t="str">
        <x:v>V0098</x:v>
      </x:c>
      <x:c r="C93" t="str">
        <x:v>C014</x:v>
      </x:c>
      <x:c r="D93" t="str">
        <x:v>Lucas Peralta</x:v>
      </x:c>
      <x:c r="E93" t="str">
        <x:v>Recurrente</x:v>
      </x:c>
      <x:c r="F93" t="str">
        <x:v>La Plata</x:v>
      </x:c>
      <x:c r="G93" t="str">
        <x:v>Cuaderno tapa dura A4</x:v>
      </x:c>
      <x:c r="H93" t="str">
        <x:v>Cuadernos</x:v>
      </x:c>
      <x:c r="I93" s="14" t="n">
        <x:v>3</x:v>
      </x:c>
      <x:c r="J93" s="16" t="n">
        <x:v>5200</x:v>
      </x:c>
      <x:c r="K93" s="18" t="n">
        <x:v>0</x:v>
      </x:c>
      <x:c r="L93" s="16" t="n">
        <x:v>15600</x:v>
      </x:c>
      <x:c r="M93" t="str">
        <x:v>Web</x:v>
      </x:c>
      <x:c r="N93" t="str">
        <x:v>Transferencia</x:v>
      </x:c>
    </x:row>
    <x:row r="94">
      <x:c r="A94" s="12" t="str">
        <x:v>2026-01-23</x:v>
      </x:c>
      <x:c r="B94" t="str">
        <x:v>V0109</x:v>
      </x:c>
      <x:c r="C94" t="str">
        <x:v>C003</x:v>
      </x:c>
      <x:c r="D94" t="str">
        <x:v>Sofía Torres</x:v>
      </x:c>
      <x:c r="E94" t="str">
        <x:v>Recurrente</x:v>
      </x:c>
      <x:c r="F94" t="str">
        <x:v>Córdoba</x:v>
      </x:c>
      <x:c r="G94" t="str">
        <x:v>Resaltador amarillo</x:v>
      </x:c>
      <x:c r="H94" t="str">
        <x:v>Escritura</x:v>
      </x:c>
      <x:c r="I94" s="14" t="n">
        <x:v>3</x:v>
      </x:c>
      <x:c r="J94" s="16" t="n">
        <x:v>1200</x:v>
      </x:c>
      <x:c r="K94" s="18" t="n">
        <x:v>0.05</x:v>
      </x:c>
      <x:c r="L94" s="16" t="n">
        <x:v>3598.2</x:v>
      </x:c>
      <x:c r="M94" t="str">
        <x:v>WhatsApp</x:v>
      </x:c>
      <x:c r="N94" t="str">
        <x:v>Tarjeta débito</x:v>
      </x:c>
    </x:row>
    <x:row r="95">
      <x:c r="A95" s="12" t="str">
        <x:v>2026-01-24</x:v>
      </x:c>
      <x:c r="B95" t="str">
        <x:v>V0043</x:v>
      </x:c>
      <x:c r="C95" t="str">
        <x:v>C008</x:v>
      </x:c>
      <x:c r="D95" t="str">
        <x:v>Tomás Herrera</x:v>
      </x:c>
      <x:c r="E95" t="str">
        <x:v>Recurrente</x:v>
      </x:c>
      <x:c r="F95" t="str">
        <x:v>Córdoba</x:v>
      </x:c>
      <x:c r="G95" t="str">
        <x:v>Agenda semanal 2026</x:v>
      </x:c>
      <x:c r="H95" t="str">
        <x:v>Organización</x:v>
      </x:c>
      <x:c r="I95" s="14" t="n">
        <x:v>1</x:v>
      </x:c>
      <x:c r="J95" s="16" t="n">
        <x:v>9500</x:v>
      </x:c>
      <x:c r="K95" s="18" t="n">
        <x:v>0</x:v>
      </x:c>
      <x:c r="L95" s="16" t="n">
        <x:v>9500</x:v>
      </x:c>
      <x:c r="M95" t="str">
        <x:v>Instagram</x:v>
      </x:c>
      <x:c r="N95" t="str">
        <x:v>Tarjeta crédito</x:v>
      </x:c>
    </x:row>
    <x:row r="96">
      <x:c r="A96" s="12" t="str">
        <x:v>2026-01-24</x:v>
      </x:c>
      <x:c r="B96" t="str">
        <x:v>V0068</x:v>
      </x:c>
      <x:c r="C96" t="str">
        <x:v>C017</x:v>
      </x:c>
      <x:c r="D96" t="str">
        <x:v>Paula Méndez</x:v>
      </x:c>
      <x:c r="E96" t="str">
        <x:v>Recurrente</x:v>
      </x:c>
      <x:c r="F96" t="str">
        <x:v>Mendoza</x:v>
      </x:c>
      <x:c r="G96" t="str">
        <x:v>Cuaderno tapa dura A4</x:v>
      </x:c>
      <x:c r="H96" t="str">
        <x:v>Cuadernos</x:v>
      </x:c>
      <x:c r="I96" s="14" t="n">
        <x:v>1</x:v>
      </x:c>
      <x:c r="J96" s="16" t="n">
        <x:v>5200</x:v>
      </x:c>
      <x:c r="K96" s="18" t="n">
        <x:v>0</x:v>
      </x:c>
      <x:c r="L96" s="16" t="n">
        <x:v>5200</x:v>
      </x:c>
      <x:c r="M96" t="str">
        <x:v>Instagram</x:v>
      </x:c>
      <x:c r="N96" t="str">
        <x:v>Tarjeta crédito</x:v>
      </x:c>
    </x:row>
    <x:row r="97">
      <x:c r="A97" s="12" t="str">
        <x:v>2026-01-24</x:v>
      </x:c>
      <x:c r="B97" t="str">
        <x:v>V0074</x:v>
      </x:c>
      <x:c r="C97" t="str">
        <x:v>C007</x:v>
      </x:c>
      <x:c r="D97" t="str">
        <x:v>Valentina Silva</x:v>
      </x:c>
      <x:c r="E97" t="str">
        <x:v>Nuevo</x:v>
      </x:c>
      <x:c r="F97" t="str">
        <x:v>Mendoza</x:v>
      </x:c>
      <x:c r="G97" t="str">
        <x:v>Resaltador amarillo</x:v>
      </x:c>
      <x:c r="H97" t="str">
        <x:v>Escritura</x:v>
      </x:c>
      <x:c r="I97" s="14" t="n">
        <x:v>2</x:v>
      </x:c>
      <x:c r="J97" s="16" t="n">
        <x:v>1200</x:v>
      </x:c>
      <x:c r="K97" s="18" t="n">
        <x:v>0</x:v>
      </x:c>
      <x:c r="L97" s="16" t="n">
        <x:v>2400</x:v>
      </x:c>
      <x:c r="M97" t="str">
        <x:v>Mostrador</x:v>
      </x:c>
      <x:c r="N97" t="str">
        <x:v>Efectivo</x:v>
      </x:c>
    </x:row>
    <x:row r="98">
      <x:c r="A98" s="12" t="str">
        <x:v>2026-01-24</x:v>
      </x:c>
      <x:c r="B98" t="str">
        <x:v>V0088</x:v>
      </x:c>
      <x:c r="C98" t="str">
        <x:v>C020</x:v>
      </x:c>
      <x:c r="D98" t="str">
        <x:v>Empresa Norte SRL</x:v>
      </x:c>
      <x:c r="E98" t="str">
        <x:v>Mayorista</x:v>
      </x:c>
      <x:c r="F98" t="str">
        <x:v>CABA</x:v>
      </x:c>
      <x:c r="G98" t="str">
        <x:v>Resaltador amarillo</x:v>
      </x:c>
      <x:c r="H98" t="str">
        <x:v>Escritura</x:v>
      </x:c>
      <x:c r="I98" s="14" t="n">
        <x:v>20</x:v>
      </x:c>
      <x:c r="J98" s="16" t="n">
        <x:v>1200</x:v>
      </x:c>
      <x:c r="K98" s="18" t="n">
        <x:v>0.1</x:v>
      </x:c>
      <x:c r="L98" s="16" t="n">
        <x:v>23976</x:v>
      </x:c>
      <x:c r="M98" t="str">
        <x:v>Web</x:v>
      </x:c>
      <x:c r="N98" t="str">
        <x:v>Tarjeta débito</x:v>
      </x:c>
    </x:row>
    <x:row r="99">
      <x:c r="A99" s="12" t="str">
        <x:v>2026-01-24</x:v>
      </x:c>
      <x:c r="B99" t="str">
        <x:v>V0097</x:v>
      </x:c>
      <x:c r="C99" t="str">
        <x:v>C012</x:v>
      </x:c>
      <x:c r="D99" t="str">
        <x:v>Mateo Benítez</x:v>
      </x:c>
      <x:c r="E99" t="str">
        <x:v>Recurrente</x:v>
      </x:c>
      <x:c r="F99" t="str">
        <x:v>CABA</x:v>
      </x:c>
      <x:c r="G99" t="str">
        <x:v>Abrochadora mediana</x:v>
      </x:c>
      <x:c r="H99" t="str">
        <x:v>Oficina</x:v>
      </x:c>
      <x:c r="I99" s="14" t="n">
        <x:v>1</x:v>
      </x:c>
      <x:c r="J99" s="16" t="n">
        <x:v>5900</x:v>
      </x:c>
      <x:c r="K99" s="18" t="n">
        <x:v>0</x:v>
      </x:c>
      <x:c r="L99" s="16" t="n">
        <x:v>5900</x:v>
      </x:c>
      <x:c r="M99" t="str">
        <x:v>WhatsApp</x:v>
      </x:c>
      <x:c r="N99" t="str">
        <x:v>Efectivo</x:v>
      </x:c>
    </x:row>
    <x:row r="100">
      <x:c r="A100" s="12" t="str">
        <x:v>2026-01-24</x:v>
      </x:c>
      <x:c r="B100" t="str">
        <x:v>V0125</x:v>
      </x:c>
      <x:c r="C100" t="str">
        <x:v>C007</x:v>
      </x:c>
      <x:c r="D100" t="str">
        <x:v>Valentina Silva</x:v>
      </x:c>
      <x:c r="E100" t="str">
        <x:v>Nuevo</x:v>
      </x:c>
      <x:c r="F100" t="str">
        <x:v>Mendoza</x:v>
      </x:c>
      <x:c r="G100" t="str">
        <x:v>Broches 24/6</x:v>
      </x:c>
      <x:c r="H100" t="str">
        <x:v>Oficina</x:v>
      </x:c>
      <x:c r="I100" s="14" t="n">
        <x:v>2</x:v>
      </x:c>
      <x:c r="J100" s="16" t="n">
        <x:v>1500</x:v>
      </x:c>
      <x:c r="K100" s="18" t="n">
        <x:v>0</x:v>
      </x:c>
      <x:c r="L100" s="16" t="n">
        <x:v>3000</x:v>
      </x:c>
      <x:c r="M100" t="str">
        <x:v>Instagram</x:v>
      </x:c>
      <x:c r="N100" t="str">
        <x:v>Transferencia</x:v>
      </x:c>
    </x:row>
    <x:row r="101">
      <x:c r="A101" s="12" t="str">
        <x:v>2026-01-25</x:v>
      </x:c>
      <x:c r="B101" t="str">
        <x:v>V0006</x:v>
      </x:c>
      <x:c r="C101" t="str">
        <x:v>C011</x:v>
      </x:c>
      <x:c r="D101" t="str">
        <x:v>Florencia Acosta</x:v>
      </x:c>
      <x:c r="E101" t="str">
        <x:v>Recurrente</x:v>
      </x:c>
      <x:c r="F101" t="str">
        <x:v>Mar del Plata</x:v>
      </x:c>
      <x:c r="G101" t="str">
        <x:v>Lapicera azul</x:v>
      </x:c>
      <x:c r="H101" t="str">
        <x:v>Escritura</x:v>
      </x:c>
      <x:c r="I101" s="14" t="n">
        <x:v>3</x:v>
      </x:c>
      <x:c r="J101" s="16" t="n">
        <x:v>650</x:v>
      </x:c>
      <x:c r="K101" s="18" t="n">
        <x:v>0.1</x:v>
      </x:c>
      <x:c r="L101" s="16" t="n">
        <x:v>1948.05</x:v>
      </x:c>
      <x:c r="M101" t="str">
        <x:v>Mercado Libre</x:v>
      </x:c>
      <x:c r="N101" t="str">
        <x:v>Tarjeta débito</x:v>
      </x:c>
    </x:row>
    <x:row r="102">
      <x:c r="A102" s="12" t="str">
        <x:v>2026-01-25</x:v>
      </x:c>
      <x:c r="B102" t="str">
        <x:v>V0018</x:v>
      </x:c>
      <x:c r="C102" t="str">
        <x:v>C021</x:v>
      </x:c>
      <x:c r="D102" t="str">
        <x:v>Colegio San Martín</x:v>
      </x:c>
      <x:c r="E102" t="str">
        <x:v>Mayorista</x:v>
      </x:c>
      <x:c r="F102" t="str">
        <x:v>La Plata</x:v>
      </x:c>
      <x:c r="G102" t="str">
        <x:v>Resaltador amarillo</x:v>
      </x:c>
      <x:c r="H102" t="str">
        <x:v>Escritura</x:v>
      </x:c>
      <x:c r="I102" s="14" t="n">
        <x:v>15</x:v>
      </x:c>
      <x:c r="J102" s="16" t="n">
        <x:v>1200</x:v>
      </x:c>
      <x:c r="K102" s="18" t="n">
        <x:v>0.08</x:v>
      </x:c>
      <x:c r="L102" s="16" t="n">
        <x:v>17985.6</x:v>
      </x:c>
      <x:c r="M102" t="str">
        <x:v>WhatsApp</x:v>
      </x:c>
      <x:c r="N102" t="str">
        <x:v>Efectivo</x:v>
      </x:c>
    </x:row>
    <x:row r="103">
      <x:c r="A103" s="12" t="str">
        <x:v>2026-01-25</x:v>
      </x:c>
      <x:c r="B103" t="str">
        <x:v>V0036</x:v>
      </x:c>
      <x:c r="C103" t="str">
        <x:v>C014</x:v>
      </x:c>
      <x:c r="D103" t="str">
        <x:v>Lucas Peralta</x:v>
      </x:c>
      <x:c r="E103" t="str">
        <x:v>Recurrente</x:v>
      </x:c>
      <x:c r="F103" t="str">
        <x:v>La Plata</x:v>
      </x:c>
      <x:c r="G103" t="str">
        <x:v>Separadores escolares</x:v>
      </x:c>
      <x:c r="H103" t="str">
        <x:v>Organización</x:v>
      </x:c>
      <x:c r="I103" s="14" t="n">
        <x:v>1</x:v>
      </x:c>
      <x:c r="J103" s="16" t="n">
        <x:v>1600</x:v>
      </x:c>
      <x:c r="K103" s="18" t="n">
        <x:v>0.1</x:v>
      </x:c>
      <x:c r="L103" s="16" t="n">
        <x:v>1598.4</x:v>
      </x:c>
      <x:c r="M103" t="str">
        <x:v>WhatsApp</x:v>
      </x:c>
      <x:c r="N103" t="str">
        <x:v>Tarjeta crédito</x:v>
      </x:c>
    </x:row>
    <x:row r="104">
      <x:c r="A104" s="12" t="str">
        <x:v>2026-01-25</x:v>
      </x:c>
      <x:c r="B104" t="str">
        <x:v>V0063</x:v>
      </x:c>
      <x:c r="C104" t="str">
        <x:v>C021</x:v>
      </x:c>
      <x:c r="D104" t="str">
        <x:v>Colegio San Martín</x:v>
      </x:c>
      <x:c r="E104" t="str">
        <x:v>Mayorista</x:v>
      </x:c>
      <x:c r="F104" t="str">
        <x:v>La Plata</x:v>
      </x:c>
      <x:c r="G104" t="str">
        <x:v>Cuaderno universitario cuadriculado</x:v>
      </x:c>
      <x:c r="H104" t="str">
        <x:v>Cuadernos</x:v>
      </x:c>
      <x:c r="I104" s="14" t="n">
        <x:v>10</x:v>
      </x:c>
      <x:c r="J104" s="16" t="n">
        <x:v>3900</x:v>
      </x:c>
      <x:c r="K104" s="18" t="n">
        <x:v>0.12</x:v>
      </x:c>
      <x:c r="L104" s="16" t="n">
        <x:v>38953.2</x:v>
      </x:c>
      <x:c r="M104" t="str">
        <x:v>Instagram</x:v>
      </x:c>
      <x:c r="N104" t="str">
        <x:v>Efectivo</x:v>
      </x:c>
    </x:row>
    <x:row r="105">
      <x:c r="A105" s="12" t="str">
        <x:v>2026-01-25</x:v>
      </x:c>
      <x:c r="B105" t="str">
        <x:v>V0100</x:v>
      </x:c>
      <x:c r="C105" t="str">
        <x:v>C013</x:v>
      </x:c>
      <x:c r="D105" t="str">
        <x:v>Agustina Vega</x:v>
      </x:c>
      <x:c r="E105" t="str">
        <x:v>Nuevo</x:v>
      </x:c>
      <x:c r="F105" t="str">
        <x:v>Córdoba</x:v>
      </x:c>
      <x:c r="G105" t="str">
        <x:v>Separadores escolares</x:v>
      </x:c>
      <x:c r="H105" t="str">
        <x:v>Organización</x:v>
      </x:c>
      <x:c r="I105" s="14" t="n">
        <x:v>1</x:v>
      </x:c>
      <x:c r="J105" s="16" t="n">
        <x:v>1600</x:v>
      </x:c>
      <x:c r="K105" s="18" t="n">
        <x:v>0</x:v>
      </x:c>
      <x:c r="L105" s="16" t="n">
        <x:v>1600</x:v>
      </x:c>
      <x:c r="M105" t="str">
        <x:v>Mercado Libre</x:v>
      </x:c>
      <x:c r="N105" t="str">
        <x:v>Transferencia</x:v>
      </x:c>
    </x:row>
    <x:row r="106">
      <x:c r="A106" s="12" t="str">
        <x:v>2026-01-26</x:v>
      </x:c>
      <x:c r="B106" t="str">
        <x:v>V0020</x:v>
      </x:c>
      <x:c r="C106" t="str">
        <x:v>C021</x:v>
      </x:c>
      <x:c r="D106" t="str">
        <x:v>Colegio San Martín</x:v>
      </x:c>
      <x:c r="E106" t="str">
        <x:v>Mayorista</x:v>
      </x:c>
      <x:c r="F106" t="str">
        <x:v>La Plata</x:v>
      </x:c>
      <x:c r="G106" t="str">
        <x:v>Tijera escolar</x:v>
      </x:c>
      <x:c r="H106" t="str">
        <x:v>Escolar</x:v>
      </x:c>
      <x:c r="I106" s="14" t="n">
        <x:v>15</x:v>
      </x:c>
      <x:c r="J106" s="16" t="n">
        <x:v>2400</x:v>
      </x:c>
      <x:c r="K106" s="18" t="n">
        <x:v>0.1</x:v>
      </x:c>
      <x:c r="L106" s="16" t="n">
        <x:v>35964</x:v>
      </x:c>
      <x:c r="M106" t="str">
        <x:v>WhatsApp</x:v>
      </x:c>
      <x:c r="N106" t="str">
        <x:v>Efectivo</x:v>
      </x:c>
    </x:row>
    <x:row r="107">
      <x:c r="A107" s="12" t="str">
        <x:v>2026-01-26</x:v>
      </x:c>
      <x:c r="B107" t="str">
        <x:v>V0120</x:v>
      </x:c>
      <x:c r="C107" t="str">
        <x:v>C010</x:v>
      </x:c>
      <x:c r="D107" t="str">
        <x:v>Nicolás Romero</x:v>
      </x:c>
      <x:c r="E107" t="str">
        <x:v>Nuevo</x:v>
      </x:c>
      <x:c r="F107" t="str">
        <x:v>Rosario</x:v>
      </x:c>
      <x:c r="G107" t="str">
        <x:v>Cuaderno tapa dura A4</x:v>
      </x:c>
      <x:c r="H107" t="str">
        <x:v>Cuadernos</x:v>
      </x:c>
      <x:c r="I107" s="14" t="n">
        <x:v>1</x:v>
      </x:c>
      <x:c r="J107" s="16" t="n">
        <x:v>5200</x:v>
      </x:c>
      <x:c r="K107" s="18" t="n">
        <x:v>0</x:v>
      </x:c>
      <x:c r="L107" s="16" t="n">
        <x:v>5200</x:v>
      </x:c>
      <x:c r="M107" t="str">
        <x:v>Instagram</x:v>
      </x:c>
      <x:c r="N107" t="str">
        <x:v>Transferencia</x:v>
      </x:c>
    </x:row>
    <x:row r="108">
      <x:c r="A108" s="12" t="str">
        <x:v>2026-01-27</x:v>
      </x:c>
      <x:c r="B108" t="str">
        <x:v>V0035</x:v>
      </x:c>
      <x:c r="C108" t="str">
        <x:v>C014</x:v>
      </x:c>
      <x:c r="D108" t="str">
        <x:v>Lucas Peralta</x:v>
      </x:c>
      <x:c r="E108" t="str">
        <x:v>Recurrente</x:v>
      </x:c>
      <x:c r="F108" t="str">
        <x:v>La Plata</x:v>
      </x:c>
      <x:c r="G108" t="str">
        <x:v>Carpeta A4 con elástico</x:v>
      </x:c>
      <x:c r="H108" t="str">
        <x:v>Organización</x:v>
      </x:c>
      <x:c r="I108" s="14" t="n">
        <x:v>1</x:v>
      </x:c>
      <x:c r="J108" s="16" t="n">
        <x:v>2800</x:v>
      </x:c>
      <x:c r="K108" s="18" t="n">
        <x:v>0</x:v>
      </x:c>
      <x:c r="L108" s="16" t="n">
        <x:v>2800</x:v>
      </x:c>
      <x:c r="M108" t="str">
        <x:v>Mostrador</x:v>
      </x:c>
      <x:c r="N108" t="str">
        <x:v>Efectivo</x:v>
      </x:c>
    </x:row>
    <x:row r="109">
      <x:c r="A109" s="12" t="str">
        <x:v>2026-01-27</x:v>
      </x:c>
      <x:c r="B109" t="str">
        <x:v>V0052</x:v>
      </x:c>
      <x:c r="C109" t="str">
        <x:v>C020</x:v>
      </x:c>
      <x:c r="D109" t="str">
        <x:v>Empresa Norte SRL</x:v>
      </x:c>
      <x:c r="E109" t="str">
        <x:v>Mayorista</x:v>
      </x:c>
      <x:c r="F109" t="str">
        <x:v>CABA</x:v>
      </x:c>
      <x:c r="G109" t="str">
        <x:v>Pegamento en barra</x:v>
      </x:c>
      <x:c r="H109" t="str">
        <x:v>Escolar</x:v>
      </x:c>
      <x:c r="I109" s="14" t="n">
        <x:v>5</x:v>
      </x:c>
      <x:c r="J109" s="16" t="n">
        <x:v>1000</x:v>
      </x:c>
      <x:c r="K109" s="18" t="n">
        <x:v>0.08</x:v>
      </x:c>
      <x:c r="L109" s="16" t="n">
        <x:v>4996</x:v>
      </x:c>
      <x:c r="M109" t="str">
        <x:v>Mercado Libre</x:v>
      </x:c>
      <x:c r="N109" t="str">
        <x:v>Transferencia</x:v>
      </x:c>
    </x:row>
    <x:row r="110">
      <x:c r="A110" s="12" t="str">
        <x:v>2026-01-27</x:v>
      </x:c>
      <x:c r="B110" t="str">
        <x:v>V0060</x:v>
      </x:c>
      <x:c r="C110" t="str">
        <x:v>C013</x:v>
      </x:c>
      <x:c r="D110" t="str">
        <x:v>Agustina Vega</x:v>
      </x:c>
      <x:c r="E110" t="str">
        <x:v>Nuevo</x:v>
      </x:c>
      <x:c r="F110" t="str">
        <x:v>Córdoba</x:v>
      </x:c>
      <x:c r="G110" t="str">
        <x:v>Carpeta A4 con elástico</x:v>
      </x:c>
      <x:c r="H110" t="str">
        <x:v>Organización</x:v>
      </x:c>
      <x:c r="I110" s="14" t="n">
        <x:v>1</x:v>
      </x:c>
      <x:c r="J110" s="16" t="n">
        <x:v>2800</x:v>
      </x:c>
      <x:c r="K110" s="18" t="n">
        <x:v>0</x:v>
      </x:c>
      <x:c r="L110" s="16" t="n">
        <x:v>2800</x:v>
      </x:c>
      <x:c r="M110" t="str">
        <x:v>Mostrador</x:v>
      </x:c>
      <x:c r="N110" t="str">
        <x:v>Tarjeta débito</x:v>
      </x:c>
    </x:row>
    <x:row r="111">
      <x:c r="A111" s="12" t="str">
        <x:v>2026-01-27</x:v>
      </x:c>
      <x:c r="B111" t="str">
        <x:v>V0095</x:v>
      </x:c>
      <x:c r="C111" t="str">
        <x:v>C007</x:v>
      </x:c>
      <x:c r="D111" t="str">
        <x:v>Valentina Silva</x:v>
      </x:c>
      <x:c r="E111" t="str">
        <x:v>Nuevo</x:v>
      </x:c>
      <x:c r="F111" t="str">
        <x:v>Mendoza</x:v>
      </x:c>
      <x:c r="G111" t="str">
        <x:v>Marcador permanente negro</x:v>
      </x:c>
      <x:c r="H111" t="str">
        <x:v>Escritura</x:v>
      </x:c>
      <x:c r="I111" s="14" t="n">
        <x:v>3</x:v>
      </x:c>
      <x:c r="J111" s="16" t="n">
        <x:v>1800</x:v>
      </x:c>
      <x:c r="K111" s="18" t="n">
        <x:v>0</x:v>
      </x:c>
      <x:c r="L111" s="16" t="n">
        <x:v>5400</x:v>
      </x:c>
      <x:c r="M111" t="str">
        <x:v>Mostrador</x:v>
      </x:c>
      <x:c r="N111" t="str">
        <x:v>Efectivo</x:v>
      </x:c>
    </x:row>
    <x:row r="112">
      <x:c r="A112" s="12" t="str">
        <x:v>2026-01-28</x:v>
      </x:c>
      <x:c r="B112" t="str">
        <x:v>V0057</x:v>
      </x:c>
      <x:c r="C112" t="str">
        <x:v>C013</x:v>
      </x:c>
      <x:c r="D112" t="str">
        <x:v>Agustina Vega</x:v>
      </x:c>
      <x:c r="E112" t="str">
        <x:v>Nuevo</x:v>
      </x:c>
      <x:c r="F112" t="str">
        <x:v>Córdoba</x:v>
      </x:c>
      <x:c r="G112" t="str">
        <x:v>Tijera escolar</x:v>
      </x:c>
      <x:c r="H112" t="str">
        <x:v>Escolar</x:v>
      </x:c>
      <x:c r="I112" s="14" t="n">
        <x:v>1</x:v>
      </x:c>
      <x:c r="J112" s="16" t="n">
        <x:v>2400</x:v>
      </x:c>
      <x:c r="K112" s="18" t="n">
        <x:v>0</x:v>
      </x:c>
      <x:c r="L112" s="16" t="n">
        <x:v>2400</x:v>
      </x:c>
      <x:c r="M112" t="str">
        <x:v>Mostrador</x:v>
      </x:c>
      <x:c r="N112" t="str">
        <x:v>Transferencia</x:v>
      </x:c>
    </x:row>
    <x:row r="113">
      <x:c r="A113" s="12" t="str">
        <x:v>2026-01-28</x:v>
      </x:c>
      <x:c r="B113" t="str">
        <x:v>V0072</x:v>
      </x:c>
      <x:c r="C113" t="str">
        <x:v>C021</x:v>
      </x:c>
      <x:c r="D113" t="str">
        <x:v>Colegio San Martín</x:v>
      </x:c>
      <x:c r="E113" t="str">
        <x:v>Mayorista</x:v>
      </x:c>
      <x:c r="F113" t="str">
        <x:v>La Plata</x:v>
      </x:c>
      <x:c r="G113" t="str">
        <x:v>Compás escolar</x:v>
      </x:c>
      <x:c r="H113" t="str">
        <x:v>Escolar</x:v>
      </x:c>
      <x:c r="I113" s="14" t="n">
        <x:v>8</x:v>
      </x:c>
      <x:c r="J113" s="16" t="n">
        <x:v>3200</x:v>
      </x:c>
      <x:c r="K113" s="18" t="n">
        <x:v>0.12</x:v>
      </x:c>
      <x:c r="L113" s="16" t="n">
        <x:v>25569.28</x:v>
      </x:c>
      <x:c r="M113" t="str">
        <x:v>WhatsApp</x:v>
      </x:c>
      <x:c r="N113" t="str">
        <x:v>Tarjeta débito</x:v>
      </x:c>
    </x:row>
    <x:row r="114">
      <x:c r="A114" s="12" t="str">
        <x:v>2026-01-28</x:v>
      </x:c>
      <x:c r="B114" t="str">
        <x:v>V0073</x:v>
      </x:c>
      <x:c r="C114" t="str">
        <x:v>C016</x:v>
      </x:c>
      <x:c r="D114" t="str">
        <x:v>Federico Arias</x:v>
      </x:c>
      <x:c r="E114" t="str">
        <x:v>Recurrente</x:v>
      </x:c>
      <x:c r="F114" t="str">
        <x:v>Rosario</x:v>
      </x:c>
      <x:c r="G114" t="str">
        <x:v>Separadores escolares</x:v>
      </x:c>
      <x:c r="H114" t="str">
        <x:v>Organización</x:v>
      </x:c>
      <x:c r="I114" s="14" t="n">
        <x:v>3</x:v>
      </x:c>
      <x:c r="J114" s="16" t="n">
        <x:v>1600</x:v>
      </x:c>
      <x:c r="K114" s="18" t="n">
        <x:v>0</x:v>
      </x:c>
      <x:c r="L114" s="16" t="n">
        <x:v>4800</x:v>
      </x:c>
      <x:c r="M114" t="str">
        <x:v>Mostrador</x:v>
      </x:c>
      <x:c r="N114" t="str">
        <x:v>Transferencia</x:v>
      </x:c>
    </x:row>
    <x:row r="115">
      <x:c r="A115" s="12" t="str">
        <x:v>2026-01-28</x:v>
      </x:c>
      <x:c r="B115" t="str">
        <x:v>V0078</x:v>
      </x:c>
      <x:c r="C115" t="str">
        <x:v>C011</x:v>
      </x:c>
      <x:c r="D115" t="str">
        <x:v>Florencia Acosta</x:v>
      </x:c>
      <x:c r="E115" t="str">
        <x:v>Recurrente</x:v>
      </x:c>
      <x:c r="F115" t="str">
        <x:v>Mar del Plata</x:v>
      </x:c>
      <x:c r="G115" t="str">
        <x:v>Separadores escolares</x:v>
      </x:c>
      <x:c r="H115" t="str">
        <x:v>Organización</x:v>
      </x:c>
      <x:c r="I115" s="14" t="n">
        <x:v>3</x:v>
      </x:c>
      <x:c r="J115" s="16" t="n">
        <x:v>1600</x:v>
      </x:c>
      <x:c r="K115" s="18" t="n">
        <x:v>0</x:v>
      </x:c>
      <x:c r="L115" s="16" t="n">
        <x:v>4800</x:v>
      </x:c>
      <x:c r="M115" t="str">
        <x:v>Web</x:v>
      </x:c>
      <x:c r="N115" t="str">
        <x:v>Transferencia</x:v>
      </x:c>
    </x:row>
    <x:row r="116">
      <x:c r="A116" s="12" t="str">
        <x:v>2026-01-28</x:v>
      </x:c>
      <x:c r="B116" t="str">
        <x:v>V0080</x:v>
      </x:c>
      <x:c r="C116" t="str">
        <x:v>C012</x:v>
      </x:c>
      <x:c r="D116" t="str">
        <x:v>Mateo Benítez</x:v>
      </x:c>
      <x:c r="E116" t="str">
        <x:v>Recurrente</x:v>
      </x:c>
      <x:c r="F116" t="str">
        <x:v>CABA</x:v>
      </x:c>
      <x:c r="G116" t="str">
        <x:v>Lapicera azul</x:v>
      </x:c>
      <x:c r="H116" t="str">
        <x:v>Escritura</x:v>
      </x:c>
      <x:c r="I116" s="14" t="n">
        <x:v>4</x:v>
      </x:c>
      <x:c r="J116" s="16" t="n">
        <x:v>650</x:v>
      </x:c>
      <x:c r="K116" s="18" t="n">
        <x:v>0</x:v>
      </x:c>
      <x:c r="L116" s="16" t="n">
        <x:v>2600</x:v>
      </x:c>
      <x:c r="M116" t="str">
        <x:v>Web</x:v>
      </x:c>
      <x:c r="N116" t="str">
        <x:v>Tarjeta débito</x:v>
      </x:c>
    </x:row>
    <x:row r="117">
      <x:c r="A117" s="12" t="str">
        <x:v>2026-01-28</x:v>
      </x:c>
      <x:c r="B117" t="str">
        <x:v>V0083</x:v>
      </x:c>
      <x:c r="C117" t="str">
        <x:v>C003</x:v>
      </x:c>
      <x:c r="D117" t="str">
        <x:v>Sofía Torres</x:v>
      </x:c>
      <x:c r="E117" t="str">
        <x:v>Recurrente</x:v>
      </x:c>
      <x:c r="F117" t="str">
        <x:v>Córdoba</x:v>
      </x:c>
      <x:c r="G117" t="str">
        <x:v>Lápiz negro HB</x:v>
      </x:c>
      <x:c r="H117" t="str">
        <x:v>Escritura</x:v>
      </x:c>
      <x:c r="I117" s="14" t="n">
        <x:v>4</x:v>
      </x:c>
      <x:c r="J117" s="16" t="n">
        <x:v>450</x:v>
      </x:c>
      <x:c r="K117" s="18" t="n">
        <x:v>0.1</x:v>
      </x:c>
      <x:c r="L117" s="16" t="n">
        <x:v>1798.2</x:v>
      </x:c>
      <x:c r="M117" t="str">
        <x:v>Mostrador</x:v>
      </x:c>
      <x:c r="N117" t="str">
        <x:v>Efectivo</x:v>
      </x:c>
    </x:row>
    <x:row r="118">
      <x:c r="A118" s="12" t="str">
        <x:v>2026-01-29</x:v>
      </x:c>
      <x:c r="B118" t="str">
        <x:v>V0007</x:v>
      </x:c>
      <x:c r="C118" t="str">
        <x:v>C009</x:v>
      </x:c>
      <x:c r="D118" t="str">
        <x:v>Julieta Castro</x:v>
      </x:c>
      <x:c r="E118" t="str">
        <x:v>Recurrente</x:v>
      </x:c>
      <x:c r="F118" t="str">
        <x:v>CABA</x:v>
      </x:c>
      <x:c r="G118" t="str">
        <x:v>Lapicera negra</x:v>
      </x:c>
      <x:c r="H118" t="str">
        <x:v>Escritura</x:v>
      </x:c>
      <x:c r="I118" s="14" t="n">
        <x:v>1</x:v>
      </x:c>
      <x:c r="J118" s="16" t="n">
        <x:v>650</x:v>
      </x:c>
      <x:c r="K118" s="18" t="n">
        <x:v>0.05</x:v>
      </x:c>
      <x:c r="L118" s="16" t="n">
        <x:v>649.68</x:v>
      </x:c>
      <x:c r="M118" t="str">
        <x:v>Mercado Libre</x:v>
      </x:c>
      <x:c r="N118" t="str">
        <x:v>Tarjeta crédito</x:v>
      </x:c>
    </x:row>
    <x:row r="119">
      <x:c r="A119" s="12" t="str">
        <x:v>2026-01-29</x:v>
      </x:c>
      <x:c r="B119" t="str">
        <x:v>V0008</x:v>
      </x:c>
      <x:c r="C119" t="str">
        <x:v>C006</x:v>
      </x:c>
      <x:c r="D119" t="str">
        <x:v>Andrés Molina</x:v>
      </x:c>
      <x:c r="E119" t="str">
        <x:v>Recurrente</x:v>
      </x:c>
      <x:c r="F119" t="str">
        <x:v>CABA</x:v>
      </x:c>
      <x:c r="G119" t="str">
        <x:v>Lapicera azul</x:v>
      </x:c>
      <x:c r="H119" t="str">
        <x:v>Escritura</x:v>
      </x:c>
      <x:c r="I119" s="14" t="n">
        <x:v>2</x:v>
      </x:c>
      <x:c r="J119" s="16" t="n">
        <x:v>650</x:v>
      </x:c>
      <x:c r="K119" s="18" t="n">
        <x:v>0</x:v>
      </x:c>
      <x:c r="L119" s="16" t="n">
        <x:v>1300</x:v>
      </x:c>
      <x:c r="M119" t="str">
        <x:v>Mercado Libre</x:v>
      </x:c>
      <x:c r="N119" t="str">
        <x:v>Efectivo</x:v>
      </x:c>
    </x:row>
    <x:row r="120">
      <x:c r="A120" s="12" t="str">
        <x:v>2026-01-29</x:v>
      </x:c>
      <x:c r="B120" t="str">
        <x:v>V0050</x:v>
      </x:c>
      <x:c r="C120" t="str">
        <x:v>C001</x:v>
      </x:c>
      <x:c r="D120" t="str">
        <x:v>Laura Pérez</x:v>
      </x:c>
      <x:c r="E120" t="str">
        <x:v>Recurrente</x:v>
      </x:c>
      <x:c r="F120" t="str">
        <x:v>CABA</x:v>
      </x:c>
      <x:c r="G120" t="str">
        <x:v>Sacapuntas metálico</x:v>
      </x:c>
      <x:c r="H120" t="str">
        <x:v>Escolar</x:v>
      </x:c>
      <x:c r="I120" s="14" t="n">
        <x:v>1</x:v>
      </x:c>
      <x:c r="J120" s="16" t="n">
        <x:v>900</x:v>
      </x:c>
      <x:c r="K120" s="18" t="n">
        <x:v>0</x:v>
      </x:c>
      <x:c r="L120" s="16" t="n">
        <x:v>900</x:v>
      </x:c>
      <x:c r="M120" t="str">
        <x:v>WhatsApp</x:v>
      </x:c>
      <x:c r="N120" t="str">
        <x:v>Transferencia</x:v>
      </x:c>
    </x:row>
    <x:row r="121">
      <x:c r="A121" s="12" t="str">
        <x:v>2026-01-29</x:v>
      </x:c>
      <x:c r="B121" t="str">
        <x:v>V0051</x:v>
      </x:c>
      <x:c r="C121" t="str">
        <x:v>C010</x:v>
      </x:c>
      <x:c r="D121" t="str">
        <x:v>Nicolás Romero</x:v>
      </x:c>
      <x:c r="E121" t="str">
        <x:v>Nuevo</x:v>
      </x:c>
      <x:c r="F121" t="str">
        <x:v>Rosario</x:v>
      </x:c>
      <x:c r="G121" t="str">
        <x:v>Cuaderno universitario cuadriculado</x:v>
      </x:c>
      <x:c r="H121" t="str">
        <x:v>Cuadernos</x:v>
      </x:c>
      <x:c r="I121" s="14" t="n">
        <x:v>1</x:v>
      </x:c>
      <x:c r="J121" s="16" t="n">
        <x:v>3900</x:v>
      </x:c>
      <x:c r="K121" s="18" t="n">
        <x:v>0</x:v>
      </x:c>
      <x:c r="L121" s="16" t="n">
        <x:v>3900</x:v>
      </x:c>
      <x:c r="M121" t="str">
        <x:v>Mostrador</x:v>
      </x:c>
      <x:c r="N121" t="str">
        <x:v>Efectivo</x:v>
      </x:c>
    </x:row>
    <x:row r="122">
      <x:c r="A122" s="12" t="str">
        <x:v>2026-01-29</x:v>
      </x:c>
      <x:c r="B122" t="str">
        <x:v>V0069</x:v>
      </x:c>
      <x:c r="C122" t="str">
        <x:v>C019</x:v>
      </x:c>
      <x:c r="D122" t="str">
        <x:v>Rocío Navarro</x:v>
      </x:c>
      <x:c r="E122" t="str">
        <x:v>Recurrente</x:v>
      </x:c>
      <x:c r="F122" t="str">
        <x:v>Córdoba</x:v>
      </x:c>
      <x:c r="G122" t="str">
        <x:v>Lapicera azul</x:v>
      </x:c>
      <x:c r="H122" t="str">
        <x:v>Escritura</x:v>
      </x:c>
      <x:c r="I122" s="14" t="n">
        <x:v>3</x:v>
      </x:c>
      <x:c r="J122" s="16" t="n">
        <x:v>650</x:v>
      </x:c>
      <x:c r="K122" s="18" t="n">
        <x:v>0</x:v>
      </x:c>
      <x:c r="L122" s="16" t="n">
        <x:v>1950</x:v>
      </x:c>
      <x:c r="M122" t="str">
        <x:v>Mercado Libre</x:v>
      </x:c>
      <x:c r="N122" t="str">
        <x:v>Tarjeta débito</x:v>
      </x:c>
    </x:row>
    <x:row r="123">
      <x:c r="A123" s="12" t="str">
        <x:v>2026-01-30</x:v>
      </x:c>
      <x:c r="B123" t="str">
        <x:v>V0002</x:v>
      </x:c>
      <x:c r="C123" t="str">
        <x:v>C014</x:v>
      </x:c>
      <x:c r="D123" t="str">
        <x:v>Lucas Peralta</x:v>
      </x:c>
      <x:c r="E123" t="str">
        <x:v>Recurrente</x:v>
      </x:c>
      <x:c r="F123" t="str">
        <x:v>La Plata</x:v>
      </x:c>
      <x:c r="G123" t="str">
        <x:v>Cuaderno universitario rayado</x:v>
      </x:c>
      <x:c r="H123" t="str">
        <x:v>Cuadernos</x:v>
      </x:c>
      <x:c r="I123" s="14" t="n">
        <x:v>1</x:v>
      </x:c>
      <x:c r="J123" s="16" t="n">
        <x:v>3800</x:v>
      </x:c>
      <x:c r="K123" s="18" t="n">
        <x:v>0.05</x:v>
      </x:c>
      <x:c r="L123" s="16" t="n">
        <x:v>3798.1</x:v>
      </x:c>
      <x:c r="M123" t="str">
        <x:v>Mostrador</x:v>
      </x:c>
      <x:c r="N123" t="str">
        <x:v>Tarjeta débito</x:v>
      </x:c>
    </x:row>
    <x:row r="124">
      <x:c r="A124" s="12" t="str">
        <x:v>2026-01-30</x:v>
      </x:c>
      <x:c r="B124" t="str">
        <x:v>V0014</x:v>
      </x:c>
      <x:c r="C124" t="str">
        <x:v>C014</x:v>
      </x:c>
      <x:c r="D124" t="str">
        <x:v>Lucas Peralta</x:v>
      </x:c>
      <x:c r="E124" t="str">
        <x:v>Recurrente</x:v>
      </x:c>
      <x:c r="F124" t="str">
        <x:v>La Plata</x:v>
      </x:c>
      <x:c r="G124" t="str">
        <x:v>Sacapuntas metálico</x:v>
      </x:c>
      <x:c r="H124" t="str">
        <x:v>Escolar</x:v>
      </x:c>
      <x:c r="I124" s="14" t="n">
        <x:v>1</x:v>
      </x:c>
      <x:c r="J124" s="16" t="n">
        <x:v>900</x:v>
      </x:c>
      <x:c r="K124" s="18" t="n">
        <x:v>0</x:v>
      </x:c>
      <x:c r="L124" s="16" t="n">
        <x:v>900</x:v>
      </x:c>
      <x:c r="M124" t="str">
        <x:v>Mostrador</x:v>
      </x:c>
      <x:c r="N124" t="str">
        <x:v>Efectivo</x:v>
      </x:c>
    </x:row>
    <x:row r="125">
      <x:c r="A125" s="12" t="str">
        <x:v>2026-01-30</x:v>
      </x:c>
      <x:c r="B125" t="str">
        <x:v>V0017</x:v>
      </x:c>
      <x:c r="C125" t="str">
        <x:v>C013</x:v>
      </x:c>
      <x:c r="D125" t="str">
        <x:v>Agustina Vega</x:v>
      </x:c>
      <x:c r="E125" t="str">
        <x:v>Nuevo</x:v>
      </x:c>
      <x:c r="F125" t="str">
        <x:v>Córdoba</x:v>
      </x:c>
      <x:c r="G125" t="str">
        <x:v>Resaltador amarillo</x:v>
      </x:c>
      <x:c r="H125" t="str">
        <x:v>Escritura</x:v>
      </x:c>
      <x:c r="I125" s="14" t="n">
        <x:v>2</x:v>
      </x:c>
      <x:c r="J125" s="16" t="n">
        <x:v>1200</x:v>
      </x:c>
      <x:c r="K125" s="18" t="n">
        <x:v>0.1</x:v>
      </x:c>
      <x:c r="L125" s="16" t="n">
        <x:v>2397.6</x:v>
      </x:c>
      <x:c r="M125" t="str">
        <x:v>Mostrador</x:v>
      </x:c>
      <x:c r="N125" t="str">
        <x:v>Efectivo</x:v>
      </x:c>
    </x:row>
    <x:row r="126">
      <x:c r="A126" s="12" t="str">
        <x:v>2026-01-30</x:v>
      </x:c>
      <x:c r="B126" t="str">
        <x:v>V0025</x:v>
      </x:c>
      <x:c r="C126" t="str">
        <x:v>C013</x:v>
      </x:c>
      <x:c r="D126" t="str">
        <x:v>Agustina Vega</x:v>
      </x:c>
      <x:c r="E126" t="str">
        <x:v>Nuevo</x:v>
      </x:c>
      <x:c r="F126" t="str">
        <x:v>Córdoba</x:v>
      </x:c>
      <x:c r="G126" t="str">
        <x:v>Lapicera azul</x:v>
      </x:c>
      <x:c r="H126" t="str">
        <x:v>Escritura</x:v>
      </x:c>
      <x:c r="I126" s="14" t="n">
        <x:v>2</x:v>
      </x:c>
      <x:c r="J126" s="16" t="n">
        <x:v>650</x:v>
      </x:c>
      <x:c r="K126" s="18" t="n">
        <x:v>0.05</x:v>
      </x:c>
      <x:c r="L126" s="16" t="n">
        <x:v>1299.35</x:v>
      </x:c>
      <x:c r="M126" t="str">
        <x:v>Instagram</x:v>
      </x:c>
      <x:c r="N126" t="str">
        <x:v>Efectivo</x:v>
      </x:c>
    </x:row>
  </x:sheetData>
  <x:pageMargins left="0.7" right="0.7" top="0.75" bottom="0.75" header="0.3" footer="0.3"/>
  <x:tableParts count="1">
    <x:tablePart xmlns:r="http://schemas.openxmlformats.org/officeDocument/2006/relationships" r:id="R3cac06cb338846e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25.84000015258789" hidden="0" customWidth="1"/>
    <x:col min="3" max="3" width="15.479999542236328" hidden="0" customWidth="1"/>
    <x:col min="4" max="4" width="8.079999923706055" hidden="0" customWidth="1"/>
  </x:cols>
  <x:sheetData>
    <x:row r="1">
      <x:c r="A1" s="6" t="str">
        <x:v>fecha</x:v>
      </x:c>
      <x:c r="B1" s="6" t="str">
        <x:v>concepto</x:v>
      </x:c>
      <x:c r="C1" s="6" t="str">
        <x:v>categoria_gasto</x:v>
      </x:c>
      <x:c r="D1" s="6" t="str">
        <x:v>monto</x:v>
      </x:c>
    </x:row>
    <x:row r="2">
      <x:c r="A2" s="12" t="str">
        <x:v>2026-01-02</x:v>
      </x:c>
      <x:c r="B2" t="str">
        <x:v>Alquiler del local</x:v>
      </x:c>
      <x:c r="C2" t="str">
        <x:v>Alquiler</x:v>
      </x:c>
      <x:c r="D2" s="16" t="n">
        <x:v>280000</x:v>
      </x:c>
    </x:row>
    <x:row r="3">
      <x:c r="A3" s="12" t="str">
        <x:v>2026-01-03</x:v>
      </x:c>
      <x:c r="B3" t="str">
        <x:v>Servicio de internet</x:v>
      </x:c>
      <x:c r="C3" t="str">
        <x:v>Servicios</x:v>
      </x:c>
      <x:c r="D3" s="16" t="n">
        <x:v>28000</x:v>
      </x:c>
    </x:row>
    <x:row r="4">
      <x:c r="A4" s="12" t="str">
        <x:v>2026-01-05</x:v>
      </x:c>
      <x:c r="B4" t="str">
        <x:v>Electricidad</x:v>
      </x:c>
      <x:c r="C4" t="str">
        <x:v>Servicios</x:v>
      </x:c>
      <x:c r="D4" s="16" t="n">
        <x:v>46000</x:v>
      </x:c>
    </x:row>
    <x:row r="5">
      <x:c r="A5" s="12" t="str">
        <x:v>2026-01-06</x:v>
      </x:c>
      <x:c r="B5" t="str">
        <x:v>Compra mayorista de cuadernos</x:v>
      </x:c>
      <x:c r="C5" t="str">
        <x:v>Mercadería</x:v>
      </x:c>
      <x:c r="D5" s="16" t="n">
        <x:v>210000</x:v>
      </x:c>
    </x:row>
    <x:row r="6">
      <x:c r="A6" s="12" t="str">
        <x:v>2026-01-07</x:v>
      </x:c>
      <x:c r="B6" t="str">
        <x:v>Compra mayorista de lapiceras</x:v>
      </x:c>
      <x:c r="C6" t="str">
        <x:v>Mercadería</x:v>
      </x:c>
      <x:c r="D6" s="16" t="n">
        <x:v>98000</x:v>
      </x:c>
    </x:row>
    <x:row r="7">
      <x:c r="A7" s="12" t="str">
        <x:v>2026-01-08</x:v>
      </x:c>
      <x:c r="B7" t="str">
        <x:v>Publicidad en Instagram</x:v>
      </x:c>
      <x:c r="C7" t="str">
        <x:v>Marketing</x:v>
      </x:c>
      <x:c r="D7" s="16" t="n">
        <x:v>52000</x:v>
      </x:c>
    </x:row>
    <x:row r="8">
      <x:c r="A8" s="12" t="str">
        <x:v>2026-01-10</x:v>
      </x:c>
      <x:c r="B8" t="str">
        <x:v>Bolsas y packaging</x:v>
      </x:c>
      <x:c r="C8" t="str">
        <x:v>Insumos</x:v>
      </x:c>
      <x:c r="D8" s="16" t="n">
        <x:v>36000</x:v>
      </x:c>
    </x:row>
    <x:row r="9">
      <x:c r="A9" s="12" t="str">
        <x:v>2026-01-12</x:v>
      </x:c>
      <x:c r="B9" t="str">
        <x:v>Comisión Mercado Libre</x:v>
      </x:c>
      <x:c r="C9" t="str">
        <x:v>Comisiones</x:v>
      </x:c>
      <x:c r="D9" s="16" t="n">
        <x:v>43000</x:v>
      </x:c>
    </x:row>
    <x:row r="10">
      <x:c r="A10" s="12" t="str">
        <x:v>2026-01-14</x:v>
      </x:c>
      <x:c r="B10" t="str">
        <x:v>Compra de resmas A4</x:v>
      </x:c>
      <x:c r="C10" t="str">
        <x:v>Mercadería</x:v>
      </x:c>
      <x:c r="D10" s="16" t="n">
        <x:v>165000</x:v>
      </x:c>
    </x:row>
    <x:row r="11">
      <x:c r="A11" s="12" t="str">
        <x:v>2026-01-16</x:v>
      </x:c>
      <x:c r="B11" t="str">
        <x:v>Mantenimiento impresora</x:v>
      </x:c>
      <x:c r="C11" t="str">
        <x:v>Mantenimiento</x:v>
      </x:c>
      <x:c r="D11" s="16" t="n">
        <x:v>22000</x:v>
      </x:c>
    </x:row>
    <x:row r="12">
      <x:c r="A12" s="12" t="str">
        <x:v>2026-01-18</x:v>
      </x:c>
      <x:c r="B12" t="str">
        <x:v>Software de facturación</x:v>
      </x:c>
      <x:c r="C12" t="str">
        <x:v>Herramientas</x:v>
      </x:c>
      <x:c r="D12" s="16" t="n">
        <x:v>18000</x:v>
      </x:c>
    </x:row>
    <x:row r="13">
      <x:c r="A13" s="12" t="str">
        <x:v>2026-01-20</x:v>
      </x:c>
      <x:c r="B13" t="str">
        <x:v>Envíos a clientes</x:v>
      </x:c>
      <x:c r="C13" t="str">
        <x:v>Logística</x:v>
      </x:c>
      <x:c r="D13" s="16" t="n">
        <x:v>57000</x:v>
      </x:c>
    </x:row>
    <x:row r="14">
      <x:c r="A14" s="12" t="str">
        <x:v>2026-01-22</x:v>
      </x:c>
      <x:c r="B14" t="str">
        <x:v>Reposición artículos escolares</x:v>
      </x:c>
      <x:c r="C14" t="str">
        <x:v>Mercadería</x:v>
      </x:c>
      <x:c r="D14" s="16" t="n">
        <x:v>135000</x:v>
      </x:c>
    </x:row>
    <x:row r="15">
      <x:c r="A15" s="12" t="str">
        <x:v>2026-01-24</x:v>
      </x:c>
      <x:c r="B15" t="str">
        <x:v>Diseño de piezas promocionales</x:v>
      </x:c>
      <x:c r="C15" t="str">
        <x:v>Marketing</x:v>
      </x:c>
      <x:c r="D15" s="16" t="n">
        <x:v>30000</x:v>
      </x:c>
    </x:row>
    <x:row r="16">
      <x:c r="A16" s="12" t="str">
        <x:v>2026-01-26</x:v>
      </x:c>
      <x:c r="B16" t="str">
        <x:v>Limpieza del local</x:v>
      </x:c>
      <x:c r="C16" t="str">
        <x:v>Servicios</x:v>
      </x:c>
      <x:c r="D16" s="16" t="n">
        <x:v>25000</x:v>
      </x:c>
    </x:row>
    <x:row r="17">
      <x:c r="A17" s="12" t="str">
        <x:v>2026-01-28</x:v>
      </x:c>
      <x:c r="B17" t="str">
        <x:v>Compra de carpetas y folios</x:v>
      </x:c>
      <x:c r="C17" t="str">
        <x:v>Mercadería</x:v>
      </x:c>
      <x:c r="D17" s="16" t="n">
        <x:v>76000</x:v>
      </x:c>
    </x:row>
  </x:sheetData>
  <x:pageMargins left="0.7" right="0.7" top="0.75" bottom="0.75" header="0.3" footer="0.3"/>
  <x:tableParts count="1">
    <x:tablePart xmlns:r="http://schemas.openxmlformats.org/officeDocument/2006/relationships" r:id="Ra4a5bd6d56eb4f56"/>
  </x:tableParts>
</x:worksheet>
</file>